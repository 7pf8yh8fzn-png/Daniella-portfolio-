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sheets/sheet2.xml" ContentType="application/vnd.openxmlformats-officedocument.spreadsheetml.worksheet+xml"/>
  <Override PartName="/xl/pivotTables/pivotTable2.xml" ContentType="application/vnd.openxmlformats-officedocument.spreadsheetml.pivotTable+xml"/>
  <Override PartName="/xl/worksheets/sheet3.xml" ContentType="application/vnd.openxmlformats-officedocument.spreadsheetml.worksheet+xml"/>
  <Override PartName="/xl/pivotTables/pivotTable3.xml" ContentType="application/vnd.openxmlformats-officedocument.spreadsheetml.pivotTable+xml"/>
  <Override PartName="/xl/worksheets/sheet4.xml" ContentType="application/vnd.openxmlformats-officedocument.spreadsheetml.worksheet+xml"/>
  <Override PartName="/xl/pivotTables/pivotTable4.xml" ContentType="application/vnd.openxmlformats-officedocument.spreadsheetml.pivotTable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420" tabRatio="600" firstSheet="4" activeTab="4" autoFilterDateGrouping="1"/>
  </bookViews>
  <sheets>
    <sheet xmlns:r="http://schemas.openxmlformats.org/officeDocument/2006/relationships" name="Revenue by Product" sheetId="1" state="hidden" r:id="rId1"/>
    <sheet xmlns:r="http://schemas.openxmlformats.org/officeDocument/2006/relationships" name="Profit by Region" sheetId="2" state="hidden" r:id="rId2"/>
    <sheet xmlns:r="http://schemas.openxmlformats.org/officeDocument/2006/relationships" name="Revenue by Channel" sheetId="3" state="hidden" r:id="rId3"/>
    <sheet xmlns:r="http://schemas.openxmlformats.org/officeDocument/2006/relationships" name="Revenue by Rep" sheetId="4" state="hidden" r:id="rId4"/>
    <sheet xmlns:r="http://schemas.openxmlformats.org/officeDocument/2006/relationships" name="dashboard" sheetId="5" state="visible" r:id="rId5"/>
    <sheet xmlns:r="http://schemas.openxmlformats.org/officeDocument/2006/relationships" name="september" sheetId="6" state="visible" r:id="rId6"/>
    <sheet xmlns:r="http://schemas.openxmlformats.org/officeDocument/2006/relationships" name="Project Findings" sheetId="7" state="visible" r:id="rId7"/>
  </sheets>
  <definedNames/>
  <calcPr calcId="191029" fullCalcOnLoad="1"/>
  <pivotCaches>
    <pivotCache xmlns:r="http://schemas.openxmlformats.org/officeDocument/2006/relationships" cacheId="14" r:id="rId8"/>
  </pivotCaches>
</workbook>
</file>

<file path=xl/styles.xml><?xml version="1.0" encoding="utf-8"?>
<styleSheet xmlns="http://schemas.openxmlformats.org/spreadsheetml/2006/main">
  <numFmts count="2">
    <numFmt numFmtId="164" formatCode="_([$NGN]\ * #,##0.00_);_([$NGN]\ * \(#,##0.00\);_([$NGN]\ * &quot;-&quot;??_);_(@_)"/>
    <numFmt numFmtId="165" formatCode="&quot;₦&quot;#,##0"/>
  </numFmts>
  <fonts count="11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b val="1"/>
      <color theme="0"/>
      <sz val="16"/>
      <scheme val="minor"/>
    </font>
    <font>
      <b val="1"/>
      <color rgb="0017332D"/>
      <sz val="14"/>
    </font>
    <font>
      <b val="1"/>
      <color rgb="00FFFFFF"/>
    </font>
    <font>
      <b val="1"/>
    </font>
    <font>
      <b val="1"/>
      <color rgb="0017332D"/>
      <sz val="15"/>
    </font>
    <font>
      <b val="1"/>
      <color rgb="00FFFFFF"/>
      <sz val="16"/>
    </font>
    <font>
      <b val="1"/>
      <color rgb="0017332D"/>
      <sz val="12"/>
    </font>
  </fonts>
  <fills count="7">
    <fill>
      <patternFill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001C7667"/>
      </patternFill>
    </fill>
    <fill>
      <patternFill patternType="solid">
        <fgColor rgb="00EAF3EE"/>
      </patternFill>
    </fill>
    <fill>
      <patternFill patternType="solid">
        <fgColor rgb="0017332D"/>
      </patternFill>
    </fill>
    <fill>
      <patternFill patternType="solid">
        <fgColor rgb="00F4F7F4"/>
      </patternFill>
    </fill>
  </fills>
  <borders count="1">
    <border>
      <left/>
      <right/>
      <top/>
      <bottom/>
      <diagonal/>
    </border>
  </borders>
  <cellStyleXfs count="3">
    <xf numFmtId="0" fontId="1" fillId="0" borderId="0"/>
    <xf numFmtId="44" fontId="1" fillId="0" borderId="0"/>
    <xf numFmtId="9" fontId="1" fillId="0" borderId="0"/>
  </cellStyleXfs>
  <cellXfs count="38">
    <xf numFmtId="0" fontId="0" fillId="0" borderId="0" pivotButton="0" quotePrefix="0" xfId="0"/>
    <xf numFmtId="15" fontId="0" fillId="0" borderId="0" pivotButton="0" quotePrefix="0" xfId="0"/>
    <xf numFmtId="164" fontId="0" fillId="0" borderId="0" pivotButton="0" quotePrefix="0" xfId="0"/>
    <xf numFmtId="0" fontId="2" fillId="0" borderId="0" pivotButton="0" quotePrefix="0" xfId="0"/>
    <xf numFmtId="164" fontId="2" fillId="0" borderId="0" pivotButton="0" quotePrefix="0" xfId="0"/>
    <xf numFmtId="0" fontId="0" fillId="0" borderId="0" pivotButton="0" quotePrefix="0" xfId="0"/>
    <xf numFmtId="164" fontId="0" fillId="0" borderId="0" pivotButton="0" quotePrefix="0" xfId="1"/>
    <xf numFmtId="0" fontId="0" fillId="0" borderId="0" pivotButton="1" quotePrefix="0" xfId="0"/>
    <xf numFmtId="0" fontId="0" fillId="0" borderId="0" applyAlignment="1" pivotButton="0" quotePrefix="0" xfId="0">
      <alignment horizontal="left"/>
    </xf>
    <xf numFmtId="0" fontId="4" fillId="2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9" fontId="0" fillId="0" borderId="0" pivotButton="0" quotePrefix="0" xfId="2"/>
    <xf numFmtId="164" fontId="0" fillId="0" borderId="0" pivotButton="0" quotePrefix="0" xfId="0"/>
    <xf numFmtId="164" fontId="0" fillId="0" borderId="0" pivotButton="0" quotePrefix="0" xfId="1"/>
    <xf numFmtId="0" fontId="5" fillId="0" borderId="0" applyAlignment="1" pivotButton="0" quotePrefix="0" xfId="0">
      <alignment vertical="center"/>
    </xf>
    <xf numFmtId="0" fontId="6" fillId="3" borderId="0" pivotButton="1" quotePrefix="0" xfId="0"/>
    <xf numFmtId="164" fontId="6" fillId="3" borderId="0" pivotButton="0" quotePrefix="0" xfId="0"/>
    <xf numFmtId="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7" fillId="4" borderId="0" applyAlignment="1" pivotButton="0" quotePrefix="0" xfId="0">
      <alignment vertical="center"/>
    </xf>
    <xf numFmtId="165" fontId="7" fillId="4" borderId="0" applyAlignment="1" pivotButton="0" quotePrefix="0" xfId="0">
      <alignment vertical="center"/>
    </xf>
    <xf numFmtId="0" fontId="6" fillId="3" borderId="0" pivotButton="0" quotePrefix="0" xfId="0"/>
    <xf numFmtId="164" fontId="6" fillId="3" borderId="0" applyAlignment="1" pivotButton="0" quotePrefix="0" xfId="1">
      <alignment horizontal="center" vertical="center"/>
    </xf>
    <xf numFmtId="164" fontId="6" fillId="3" borderId="0" applyAlignment="1" pivotButton="0" quotePrefix="0" xfId="0">
      <alignment horizontal="center" vertical="center"/>
    </xf>
    <xf numFmtId="9" fontId="6" fillId="3" borderId="0" applyAlignment="1" pivotButton="0" quotePrefix="0" xfId="2">
      <alignment horizontal="center" vertical="center"/>
    </xf>
    <xf numFmtId="0" fontId="6" fillId="3" borderId="0" applyAlignment="1" pivotButton="0" quotePrefix="0" xfId="0">
      <alignment horizontal="center" vertical="center"/>
    </xf>
    <xf numFmtId="165" fontId="8" fillId="4" borderId="0" applyAlignment="1" pivotButton="0" quotePrefix="0" xfId="1">
      <alignment horizontal="center" vertical="center"/>
    </xf>
    <xf numFmtId="165" fontId="8" fillId="4" borderId="0" applyAlignment="1" pivotButton="0" quotePrefix="0" xfId="0">
      <alignment horizontal="center" vertical="center"/>
    </xf>
    <xf numFmtId="10" fontId="8" fillId="4" borderId="0" applyAlignment="1" pivotButton="0" quotePrefix="0" xfId="2">
      <alignment horizontal="center" vertical="center"/>
    </xf>
    <xf numFmtId="0" fontId="8" fillId="4" borderId="0" applyAlignment="1" pivotButton="0" quotePrefix="0" xfId="0">
      <alignment horizontal="center" vertical="center"/>
    </xf>
    <xf numFmtId="164" fontId="2" fillId="0" borderId="0" pivotButton="0" quotePrefix="0" xfId="0"/>
    <xf numFmtId="0" fontId="9" fillId="5" borderId="0" pivotButton="0" quotePrefix="0" xfId="0"/>
    <xf numFmtId="0" fontId="0" fillId="4" borderId="0" pivotButton="0" quotePrefix="0" xfId="0"/>
    <xf numFmtId="0" fontId="0" fillId="0" borderId="0" applyAlignment="1" pivotButton="0" quotePrefix="0" xfId="0">
      <alignment vertical="top" wrapText="1"/>
    </xf>
    <xf numFmtId="165" fontId="0" fillId="4" borderId="0" pivotButton="0" quotePrefix="0" xfId="0"/>
    <xf numFmtId="10" fontId="0" fillId="4" borderId="0" pivotButton="0" quotePrefix="0" xfId="0"/>
    <xf numFmtId="0" fontId="10" fillId="0" borderId="0" pivotButton="0" quotePrefix="0" xfId="0"/>
    <xf numFmtId="0" fontId="0" fillId="6" borderId="0" applyAlignment="1" pivotButton="0" quotePrefix="0" xfId="0">
      <alignment vertical="top" wrapText="1"/>
    </xf>
  </cellXfs>
  <cellStyles count="3">
    <cellStyle name="Normal" xfId="0" builtinId="0"/>
    <cellStyle name="Currency" xfId="1" builtinId="4"/>
    <cellStyle name="Percent" xfId="2" builtinId="5"/>
  </cellStyles>
  <dxfs count="23">
    <dxf>
      <numFmt numFmtId="167" formatCode="_([$NGN]\ * #,##0.00_);_([$NGN]\ * \(#,##0.00\);_([$NGN]\ * &quot;-&quot;??_);_(@_)"/>
    </dxf>
    <dxf>
      <numFmt numFmtId="167" formatCode="_([$NGN]\ * #,##0.00_);_([$NGN]\ * \(#,##0.00\);_([$NGN]\ * &quot;-&quot;??_);_(@_)"/>
    </dxf>
    <dxf>
      <numFmt numFmtId="167" formatCode="_([$NGN]\ * #,##0.00_);_([$NGN]\ * \(#,##0.00\);_([$NGN]\ * &quot;-&quot;??_);_(@_)"/>
    </dxf>
    <dxf>
      <numFmt numFmtId="167" formatCode="_([$NGN]\ * #,##0.00_);_([$NGN]\ * \(#,##0.00\);_([$NGN]\ * &quot;-&quot;??_);_(@_)"/>
    </dxf>
    <dxf>
      <numFmt numFmtId="167" formatCode="_([$NGN]\ * #,##0.00_);_([$NGN]\ * \(#,##0.00\);_([$NGN]\ * &quot;-&quot;??_);_(@_)"/>
    </dxf>
    <dxf>
      <numFmt numFmtId="20" formatCode="d\-mmm\-yy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67" formatCode="_([$NGN]\ * #,##0.00_);_([$NGN]\ * \(#,##0.00\);_([$NGN]\ * &quot;-&quot;??_);_(@_)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67" formatCode="_([$NGN]\ * #,##0.00_);_([$NGN]\ * \(#,##0.00\);_([$NGN]\ * &quot;-&quot;??_);_(@_)"/>
    </dxf>
    <dxf>
      <numFmt numFmtId="167" formatCode="_([$NGN]\ * #,##0.00_);_([$NGN]\ * \(#,##0.00\);_([$NGN]\ * &quot;-&quot;??_);_(@_)"/>
    </dxf>
    <dxf>
      <numFmt numFmtId="167" formatCode="_([$NGN]\ * #,##0.00_);_([$NGN]\ * \(#,##0.00\);_([$NGN]\ * &quot;-&quot;??_);_(@_)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numFmt numFmtId="167" formatCode="_([$NGN]\ * #,##0.00_);_([$NGN]\ * \(#,##0.00\);_([$NGN]\ * &quot;-&quot;??_);_(@_)"/>
    </dxf>
    <dxf>
      <numFmt numFmtId="167" formatCode="_([$NGN]\ * #,##0.00_);_([$NGN]\ * \(#,##0.00\);_([$NGN]\ * &quot;-&quot;??_);_(@_)"/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numFmt numFmtId="167" formatCode="_([$NGN]\ * #,##0.00_);_([$NGN]\ * \(#,##0.00\);_([$NGN]\ * &quot;-&quot;??_);_(@_)"/>
    </dxf>
    <dxf>
      <numFmt numFmtId="167" formatCode="_([$NGN]\ * #,##0.00_);_([$NGN]\ * \(#,##0.00\);_([$NGN]\ * &quot;-&quot;??_);_(@_)"/>
    </dxf>
    <dxf>
      <numFmt numFmtId="167" formatCode="_([$NGN]\ * #,##0.00_);_([$NGN]\ * \(#,##0.00\);_([$NGN]\ * &quot;-&quot;??_);_(@_)"/>
    </dxf>
    <dxf>
      <numFmt numFmtId="167" formatCode="_([$NGN]\ * #,##0.00_);_([$NGN]\ * \(#,##0.00\);_([$NGN]\ * &quot;-&quot;??_);_(@_)"/>
    </dxf>
    <dxf>
      <numFmt numFmtId="167" formatCode="_([$NGN]\ * #,##0.00_);_([$NGN]\ * \(#,##0.00\);_([$NGN]\ * &quot;-&quot;??_);_(@_)"/>
    </dxf>
    <dxf>
      <numFmt numFmtId="20" formatCode="d\-mmm\-yy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pivotCacheDefinition" Target="/xl/pivotCache/pivotCacheDefinition1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pivotSource>
    <name>[september sales spread sheet and analysis.xlsx]Sheet2!PivotTable2</name>
    <fmtId val="2"/>
  </pivotSource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Product</a:t>
            </a:r>
          </a:p>
        </rich>
      </tx>
    </title>
    <pivotFmts>
      <pivotFmt>
        <idx val="0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1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2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3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4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5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6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7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</pivotFmts>
    <plotArea>
      <layout/>
      <barChart>
        <barDir val="col"/>
        <grouping val="clustered"/>
        <varyColors val="0"/>
        <ser>
          <idx val="0"/>
          <order val="0"/>
          <tx>
            <strRef>
              <f>Sheet2!$B$3</f>
              <strCache>
                <ptCount val="1"/>
                <pt idx="0">
                  <v>Total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'Revenue by Product'!$A$4:$A$13</f>
              <strCache>
                <ptCount val="10"/>
                <pt idx="0">
                  <v>External SSD</v>
                </pt>
                <pt idx="1">
                  <v>Headphones</v>
                </pt>
                <pt idx="2">
                  <v>Keyboard</v>
                </pt>
                <pt idx="3">
                  <v>Laptop</v>
                </pt>
                <pt idx="4">
                  <v>Monitor</v>
                </pt>
                <pt idx="5">
                  <v>Mouse</v>
                </pt>
                <pt idx="6">
                  <v>Printer</v>
                </pt>
                <pt idx="7">
                  <v>Router</v>
                </pt>
                <pt idx="8">
                  <v>Smartphone</v>
                </pt>
                <pt idx="9">
                  <v>Tablet</v>
                </pt>
              </strCache>
            </strRef>
          </cat>
          <val>
            <numRef>
              <f>'Revenue by Product'!$B$4:$B$13</f>
              <numCache>
                <formatCode>_([$NGN]\ * #,##0.00_);_([$NGN]\ * \(#,##0.00\);_([$NGN]\ * "-"??_);_(@_)</formatCode>
                <ptCount val="10"/>
                <pt idx="0">
                  <v>2295000</v>
                </pt>
                <pt idx="1">
                  <v>1368000</v>
                </pt>
                <pt idx="2">
                  <v>1350000</v>
                </pt>
                <pt idx="3">
                  <v>8100000</v>
                </pt>
                <pt idx="4">
                  <v>3450000</v>
                </pt>
                <pt idx="5">
                  <v>648000</v>
                </pt>
                <pt idx="6">
                  <v>2295000</v>
                </pt>
                <pt idx="7">
                  <v>1820000</v>
                </pt>
                <pt idx="8">
                  <v>7840000</v>
                </pt>
                <pt idx="9">
                  <v>3960000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100380160"/>
        <axId val="1100374752"/>
      </barChart>
      <catAx>
        <axId val="110038016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100374752"/>
        <crosses val="autoZero"/>
        <auto val="1"/>
        <lblAlgn val="ctr"/>
        <lblOffset val="100"/>
        <noMultiLvlLbl val="0"/>
      </catAx>
      <valAx>
        <axId val="1100374752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_([$NGN]\ * #,##0.00_);_([$NGN]\ * \(#,##0.00\);_([$NGN]\ * &quot;-&quot;??_);_(@_)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100380160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="http://schemas.openxmlformats.org/drawingml/2006/chart">
  <pivotSource>
    <name>[september sales spread sheet and analysis.xlsx]Sheet4!PivotTable3</name>
    <fmtId val="2"/>
  </pivotSource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Profit by Region</a:t>
            </a:r>
          </a:p>
        </rich>
      </tx>
    </title>
    <pivotFmts>
      <pivotFmt>
        <idx val="0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1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2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</pivotFmts>
    <plotArea>
      <layout/>
      <barChart>
        <barDir val="col"/>
        <grouping val="clustered"/>
        <varyColors val="0"/>
        <ser>
          <idx val="0"/>
          <order val="0"/>
          <tx>
            <strRef>
              <f>Sheet4!$B$3</f>
              <strCache>
                <ptCount val="1"/>
                <pt idx="0">
                  <v>Total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'Profit by Region'!$A$4:$A$8</f>
              <strCache>
                <ptCount val="5"/>
                <pt idx="0">
                  <v>Abuja</v>
                </pt>
                <pt idx="1">
                  <v>Ibadan</v>
                </pt>
                <pt idx="2">
                  <v>Kano</v>
                </pt>
                <pt idx="3">
                  <v>Lagos</v>
                </pt>
                <pt idx="4">
                  <v>Port Harcourt</v>
                </pt>
              </strCache>
            </strRef>
          </cat>
          <val>
            <numRef>
              <f>'Profit by Region'!$B$4:$B$8</f>
              <numCache>
                <formatCode>General</formatCode>
                <ptCount val="5"/>
                <pt idx="0">
                  <v>3694500</v>
                </pt>
                <pt idx="1">
                  <v>1005000</v>
                </pt>
                <pt idx="2">
                  <v>1326000</v>
                </pt>
                <pt idx="3">
                  <v>2744000</v>
                </pt>
                <pt idx="4">
                  <v>1462500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229516928"/>
        <axId val="1229515680"/>
      </barChart>
      <catAx>
        <axId val="1229516928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229515680"/>
        <crosses val="autoZero"/>
        <auto val="1"/>
        <lblAlgn val="ctr"/>
        <lblOffset val="100"/>
        <noMultiLvlLbl val="0"/>
      </catAx>
      <valAx>
        <axId val="1229515680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229516928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="http://schemas.openxmlformats.org/drawingml/2006/chart">
  <pivotSource>
    <name>[september sales spread sheet and analysis.xlsx]Sheet5!PivotTable4</name>
    <fmtId val="2"/>
  </pivotSource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Sales Channel</a:t>
            </a:r>
          </a:p>
        </rich>
      </tx>
    </title>
    <pivotFmts>
      <pivotFmt>
        <idx val="0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1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2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</pivotFmts>
    <plotArea>
      <layout/>
      <barChart>
        <barDir val="col"/>
        <grouping val="clustered"/>
        <varyColors val="0"/>
        <ser>
          <idx val="0"/>
          <order val="0"/>
          <tx>
            <strRef>
              <f>Sheet5!$B$3</f>
              <strCache>
                <ptCount val="1"/>
                <pt idx="0">
                  <v>Total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'Revenue by Channel'!$A$4:$A$6</f>
              <strCache>
                <ptCount val="3"/>
                <pt idx="0">
                  <v>Corporate</v>
                </pt>
                <pt idx="1">
                  <v>In-store</v>
                </pt>
                <pt idx="2">
                  <v>Online</v>
                </pt>
              </strCache>
            </strRef>
          </cat>
          <val>
            <numRef>
              <f>'Revenue by Channel'!$B$4:$B$6</f>
              <numCache>
                <formatCode>General</formatCode>
                <ptCount val="3"/>
                <pt idx="0">
                  <v>14596000</v>
                </pt>
                <pt idx="1">
                  <v>7437000</v>
                </pt>
                <pt idx="2">
                  <v>11093000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216582608"/>
        <axId val="1216578864"/>
      </barChart>
      <catAx>
        <axId val="1216582608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216578864"/>
        <crosses val="autoZero"/>
        <auto val="1"/>
        <lblAlgn val="ctr"/>
        <lblOffset val="100"/>
        <noMultiLvlLbl val="0"/>
      </catAx>
      <valAx>
        <axId val="1216578864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216582608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4.xml><?xml version="1.0" encoding="utf-8"?>
<chartSpace xmlns="http://schemas.openxmlformats.org/drawingml/2006/chart">
  <pivotSource>
    <name>[september sales spread sheet and analysis.xlsx]Sheet7!PivotTable6</name>
    <fmtId val="2"/>
  </pivotSource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Sales Representative</a:t>
            </a:r>
          </a:p>
        </rich>
      </tx>
    </title>
    <pivotFmts>
      <pivotFmt>
        <idx val="0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1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2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</pivotFmts>
    <plotArea>
      <layout/>
      <barChart>
        <barDir val="col"/>
        <grouping val="clustered"/>
        <varyColors val="0"/>
        <ser>
          <idx val="0"/>
          <order val="0"/>
          <tx>
            <strRef>
              <f>Sheet7!$B$3</f>
              <strCache>
                <ptCount val="1"/>
                <pt idx="0">
                  <v>Total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'Revenue by Rep'!$A$4:$A$10</f>
              <strCache>
                <ptCount val="7"/>
                <pt idx="0">
                  <v>Ada</v>
                </pt>
                <pt idx="1">
                  <v>Bola</v>
                </pt>
                <pt idx="2">
                  <v>Chika</v>
                </pt>
                <pt idx="3">
                  <v>Emeka</v>
                </pt>
                <pt idx="4">
                  <v>Fatima</v>
                </pt>
                <pt idx="5">
                  <v>Ibrahim</v>
                </pt>
                <pt idx="6">
                  <v>Tunde</v>
                </pt>
              </strCache>
            </strRef>
          </cat>
          <val>
            <numRef>
              <f>'Revenue by Rep'!$B$4:$B$10</f>
              <numCache>
                <formatCode>General</formatCode>
                <ptCount val="7"/>
                <pt idx="0">
                  <v>6493000</v>
                </pt>
                <pt idx="1">
                  <v>4294000</v>
                </pt>
                <pt idx="2">
                  <v>4384000</v>
                </pt>
                <pt idx="3">
                  <v>5205000</v>
                </pt>
                <pt idx="4">
                  <v>3474000</v>
                </pt>
                <pt idx="5">
                  <v>4389000</v>
                </pt>
                <pt idx="6">
                  <v>4887000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216593008"/>
        <axId val="1216585936"/>
      </barChart>
      <catAx>
        <axId val="1216593008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216585936"/>
        <crosses val="autoZero"/>
        <auto val="1"/>
        <lblAlgn val="ctr"/>
        <lblOffset val="100"/>
        <noMultiLvlLbl val="0"/>
      </catAx>
      <valAx>
        <axId val="1216585936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216593008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6</row>
      <rowOff>0</rowOff>
    </from>
    <ext cx="5112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6</row>
      <rowOff>0</rowOff>
    </from>
    <ext cx="5112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24</row>
      <rowOff>0</rowOff>
    </from>
    <ext cx="5112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6</col>
      <colOff>0</colOff>
      <row>24</row>
      <rowOff>0</rowOff>
    </from>
    <ext cx="5112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edBy="HP" refreshedDate="46310.50622037037" createdVersion="7" refreshedVersion="7" minRefreshableVersion="3" recordCount="100" r:id="rId1">
  <cacheSource type="worksheet">
    <worksheetSource name="Table1"/>
  </cacheSource>
  <cacheFields count="14">
    <cacheField name="Order ID" uniqueList="1" numFmtId="0" sqlType="0" hierarchy="0" level="0" databaseField="1">
      <sharedItems count="0"/>
    </cacheField>
    <cacheField name="Order Date" uniqueList="1" numFmtId="15" sqlType="0" hierarchy="0" level="0" databaseField="1">
      <sharedItems count="0" containsDate="1" containsNonDate="0" containsSemiMixedTypes="0" containsString="0" minDate="2026-09-01T00:00:00" maxDate="2026-10-01T00:00:00"/>
    </cacheField>
    <cacheField name="Product" uniqueList="1" numFmtId="0" sqlType="0" hierarchy="0" level="0" databaseField="1">
      <sharedItems count="10">
        <s v="Laptop"/>
        <s v="Smartphone"/>
        <s v="Keyboard"/>
        <s v="Monitor"/>
        <s v="Mouse"/>
        <s v="Tablet"/>
        <s v="Router"/>
        <s v="Printer"/>
        <s v="External SSD"/>
        <s v="Headphones"/>
      </sharedItems>
    </cacheField>
    <cacheField name="Category" uniqueList="1" numFmtId="0" sqlType="0" hierarchy="0" level="0" databaseField="1">
      <sharedItems count="0"/>
    </cacheField>
    <cacheField name="Region" uniqueList="1" numFmtId="0" sqlType="0" hierarchy="0" level="0" databaseField="1">
      <sharedItems count="5">
        <s v="Abuja"/>
        <s v="Lagos"/>
        <s v="Kano"/>
        <s v="Ibadan"/>
        <s v="Port Harcourt"/>
      </sharedItems>
    </cacheField>
    <cacheField name="Sales Channel" uniqueList="1" numFmtId="0" sqlType="0" hierarchy="0" level="0" databaseField="1">
      <sharedItems count="3">
        <s v="Corporate"/>
        <s v="Online"/>
        <s v="In-store"/>
      </sharedItems>
    </cacheField>
    <cacheField name="Sales Rep" uniqueList="1" numFmtId="0" sqlType="0" hierarchy="0" level="0" databaseField="1">
      <sharedItems count="7">
        <s v="Ada"/>
        <s v="Bola"/>
        <s v="Chika"/>
        <s v="Emeka"/>
        <s v="Fatima"/>
        <s v="Ibrahim"/>
        <s v="Tunde"/>
      </sharedItems>
    </cacheField>
    <cacheField name="Quantity" uniqueList="1" numFmtId="0" sqlType="0" hierarchy="0" level="0" databaseField="1">
      <sharedItems count="0" containsInteger="1" containsNumber="1" containsSemiMixedTypes="0" containsString="0" minValue="1" maxValue="8"/>
    </cacheField>
    <cacheField name="Unit Price" uniqueList="1" numFmtId="167" sqlType="0" hierarchy="0" level="0" databaseField="1">
      <sharedItems count="0" containsInteger="1" containsNumber="1" containsSemiMixedTypes="0" containsString="0" minValue="12000" maxValue="450000"/>
    </cacheField>
    <cacheField name="Unit Cost" uniqueList="1" numFmtId="167" sqlType="0" hierarchy="0" level="0" databaseField="1">
      <sharedItems count="0" containsInteger="1" containsNumber="1" containsSemiMixedTypes="0" containsString="0" minValue="6500" maxValue="320000"/>
    </cacheField>
    <cacheField name="Revenue" uniqueList="1" numFmtId="167" sqlType="0" hierarchy="0" level="0" databaseField="1">
      <sharedItems count="39" containsInteger="1" containsNumber="1" containsSemiMixedTypes="0" containsString="0" minValue="48000" maxValue="1350000">
        <n v="900000"/>
        <n v="840000"/>
        <n v="125000"/>
        <n v="300000"/>
        <n v="48000"/>
        <n v="360000"/>
        <n v="195000"/>
        <n v="135000"/>
        <n v="340000"/>
        <n v="228000"/>
        <n v="450000"/>
        <n v="560000"/>
        <n v="200000"/>
        <n v="540000"/>
        <n v="60000"/>
        <n v="270000"/>
        <n v="260000"/>
        <n v="114000"/>
        <n v="1120000"/>
        <n v="255000"/>
        <n v="180000"/>
        <n v="150000"/>
        <n v="130000"/>
        <n v="84000"/>
        <n v="190000"/>
        <n v="1350000"/>
        <n v="170000"/>
        <n v="100000"/>
        <n v="96000"/>
        <n v="152000"/>
        <n v="425000"/>
        <n v="280000"/>
        <n v="175000"/>
        <n v="65000"/>
        <n v="405000"/>
        <n v="72000"/>
        <n v="720000"/>
        <n v="600000"/>
        <n v="76000"/>
      </sharedItems>
    </cacheField>
    <cacheField name="Total Cost" uniqueList="1" numFmtId="167" sqlType="0" hierarchy="0" level="0" databaseField="1">
      <sharedItems count="0" containsInteger="1" containsNumber="1" containsSemiMixedTypes="0" containsString="0" minValue="26000" maxValue="960000"/>
    </cacheField>
    <cacheField name="Profit" uniqueList="1" numFmtId="167" sqlType="0" hierarchy="0" level="0" databaseField="1">
      <sharedItems count="0" containsInteger="1" containsNumber="1" containsSemiMixedTypes="0" containsString="0" minValue="22000" maxValue="390000"/>
    </cacheField>
    <cacheField name="Profit Margin" uniqueList="1" numFmtId="0" sqlType="0" hierarchy="0" level="0" databaseField="1">
      <sharedItems count="0" containsNumber="1" containsSemiMixedTypes="0" containsString="0" minValue="0.2678571428571428" maxValue="0.4583333333333333"/>
    </cacheField>
  </cacheFields>
</pivotCacheDefinition>
</file>

<file path=xl/pivotCache/pivotCacheRecords1.xml><?xml version="1.0" encoding="utf-8"?>
<pivotCacheRecords xmlns="http://schemas.openxmlformats.org/spreadsheetml/2006/main" count="100">
  <r>
    <s v="SEP-001"/>
    <d v="2026-09-01T00:00:00"/>
    <x v="0"/>
    <s v="Computers"/>
    <x v="0"/>
    <x v="0"/>
    <x v="0"/>
    <n v="2"/>
    <n v="450000"/>
    <n v="320000"/>
    <x v="0"/>
    <n v="640000"/>
    <n v="260000"/>
    <n v="0.2888888888888889"/>
  </r>
  <r>
    <s v="SEP-002"/>
    <d v="2026-09-01T00:00:00"/>
    <x v="1"/>
    <s v="Phones"/>
    <x v="1"/>
    <x v="1"/>
    <x v="1"/>
    <n v="3"/>
    <n v="280000"/>
    <n v="205000"/>
    <x v="1"/>
    <n v="615000"/>
    <n v="225000"/>
    <n v="0.2678571428571428"/>
  </r>
  <r>
    <s v="SEP-003"/>
    <d v="2026-09-01T00:00:00"/>
    <x v="2"/>
    <s v="Accessories"/>
    <x v="0"/>
    <x v="2"/>
    <x v="2"/>
    <n v="5"/>
    <n v="25000"/>
    <n v="14000"/>
    <x v="2"/>
    <n v="70000"/>
    <n v="55000"/>
    <n v="0.44"/>
  </r>
  <r>
    <s v="SEP-004"/>
    <d v="2026-09-02T00:00:00"/>
    <x v="3"/>
    <s v="Accessories"/>
    <x v="2"/>
    <x v="0"/>
    <x v="3"/>
    <n v="2"/>
    <n v="150000"/>
    <n v="105000"/>
    <x v="3"/>
    <n v="210000"/>
    <n v="90000"/>
    <n v="0.3"/>
  </r>
  <r>
    <s v="SEP-005"/>
    <d v="2026-09-02T00:00:00"/>
    <x v="4"/>
    <s v="Accessories"/>
    <x v="3"/>
    <x v="1"/>
    <x v="4"/>
    <n v="4"/>
    <n v="12000"/>
    <n v="6500"/>
    <x v="4"/>
    <n v="26000"/>
    <n v="22000"/>
    <n v="0.4583333333333333"/>
  </r>
  <r>
    <s v="SEP-006"/>
    <d v="2026-09-02T00:00:00"/>
    <x v="5"/>
    <s v="Computers"/>
    <x v="1"/>
    <x v="2"/>
    <x v="5"/>
    <n v="2"/>
    <n v="180000"/>
    <n v="125000"/>
    <x v="5"/>
    <n v="250000"/>
    <n v="110000"/>
    <n v="0.3055555555555556"/>
  </r>
  <r>
    <s v="SEP-007"/>
    <d v="2026-09-03T00:00:00"/>
    <x v="6"/>
    <s v="Networking"/>
    <x v="0"/>
    <x v="1"/>
    <x v="6"/>
    <n v="3"/>
    <n v="65000"/>
    <n v="42000"/>
    <x v="6"/>
    <n v="126000"/>
    <n v="69000"/>
    <n v="0.3538461538461539"/>
  </r>
  <r>
    <s v="SEP-008"/>
    <d v="2026-09-03T00:00:00"/>
    <x v="7"/>
    <s v="Office Equipment"/>
    <x v="4"/>
    <x v="0"/>
    <x v="0"/>
    <n v="1"/>
    <n v="135000"/>
    <n v="95000"/>
    <x v="7"/>
    <n v="95000"/>
    <n v="40000"/>
    <n v="0.2962962962962963"/>
  </r>
  <r>
    <s v="SEP-009"/>
    <d v="2026-09-03T00:00:00"/>
    <x v="8"/>
    <s v="Storage"/>
    <x v="1"/>
    <x v="1"/>
    <x v="1"/>
    <n v="4"/>
    <n v="85000"/>
    <n v="57000"/>
    <x v="8"/>
    <n v="228000"/>
    <n v="112000"/>
    <n v="0.3294117647058823"/>
  </r>
  <r>
    <s v="SEP-010"/>
    <d v="2026-09-03T00:00:00"/>
    <x v="9"/>
    <s v="Accessories"/>
    <x v="2"/>
    <x v="2"/>
    <x v="2"/>
    <n v="6"/>
    <n v="38000"/>
    <n v="22000"/>
    <x v="9"/>
    <n v="132000"/>
    <n v="96000"/>
    <n v="0.4210526315789473"/>
  </r>
  <r>
    <s v="SEP-011"/>
    <d v="2026-09-04T00:00:00"/>
    <x v="0"/>
    <s v="Computers"/>
    <x v="1"/>
    <x v="0"/>
    <x v="3"/>
    <n v="1"/>
    <n v="450000"/>
    <n v="320000"/>
    <x v="10"/>
    <n v="320000"/>
    <n v="130000"/>
    <n v="0.2888888888888889"/>
  </r>
  <r>
    <s v="SEP-012"/>
    <d v="2026-09-04T00:00:00"/>
    <x v="1"/>
    <s v="Phones"/>
    <x v="0"/>
    <x v="1"/>
    <x v="4"/>
    <n v="2"/>
    <n v="280000"/>
    <n v="205000"/>
    <x v="11"/>
    <n v="410000"/>
    <n v="150000"/>
    <n v="0.2678571428571428"/>
  </r>
  <r>
    <s v="SEP-013"/>
    <d v="2026-09-04T00:00:00"/>
    <x v="3"/>
    <s v="Accessories"/>
    <x v="3"/>
    <x v="2"/>
    <x v="5"/>
    <n v="3"/>
    <n v="150000"/>
    <n v="105000"/>
    <x v="10"/>
    <n v="315000"/>
    <n v="135000"/>
    <n v="0.3"/>
  </r>
  <r>
    <s v="SEP-014"/>
    <d v="2026-09-05T00:00:00"/>
    <x v="2"/>
    <s v="Accessories"/>
    <x v="4"/>
    <x v="1"/>
    <x v="6"/>
    <n v="8"/>
    <n v="25000"/>
    <n v="14000"/>
    <x v="12"/>
    <n v="112000"/>
    <n v="88000"/>
    <n v="0.44"/>
  </r>
  <r>
    <s v="SEP-015"/>
    <d v="2026-09-05T00:00:00"/>
    <x v="5"/>
    <s v="Computers"/>
    <x v="0"/>
    <x v="0"/>
    <x v="0"/>
    <n v="3"/>
    <n v="180000"/>
    <n v="125000"/>
    <x v="13"/>
    <n v="375000"/>
    <n v="165000"/>
    <n v="0.3055555555555556"/>
  </r>
  <r>
    <s v="SEP-016"/>
    <d v="2026-09-05T00:00:00"/>
    <x v="4"/>
    <s v="Accessories"/>
    <x v="1"/>
    <x v="2"/>
    <x v="1"/>
    <n v="5"/>
    <n v="12000"/>
    <n v="6500"/>
    <x v="14"/>
    <n v="32500"/>
    <n v="27500"/>
    <n v="0.4583333333333333"/>
  </r>
  <r>
    <s v="SEP-017"/>
    <d v="2026-09-06T00:00:00"/>
    <x v="7"/>
    <s v="Office Equipment"/>
    <x v="2"/>
    <x v="0"/>
    <x v="2"/>
    <n v="2"/>
    <n v="135000"/>
    <n v="95000"/>
    <x v="15"/>
    <n v="190000"/>
    <n v="80000"/>
    <n v="0.2962962962962963"/>
  </r>
  <r>
    <s v="SEP-018"/>
    <d v="2026-09-06T00:00:00"/>
    <x v="6"/>
    <s v="Networking"/>
    <x v="3"/>
    <x v="1"/>
    <x v="3"/>
    <n v="4"/>
    <n v="65000"/>
    <n v="42000"/>
    <x v="16"/>
    <n v="168000"/>
    <n v="92000"/>
    <n v="0.3538461538461539"/>
  </r>
  <r>
    <s v="SEP-019"/>
    <d v="2026-09-06T00:00:00"/>
    <x v="9"/>
    <s v="Accessories"/>
    <x v="0"/>
    <x v="2"/>
    <x v="4"/>
    <n v="3"/>
    <n v="38000"/>
    <n v="22000"/>
    <x v="17"/>
    <n v="66000"/>
    <n v="48000"/>
    <n v="0.4210526315789473"/>
  </r>
  <r>
    <s v="SEP-020"/>
    <d v="2026-09-06T00:00:00"/>
    <x v="0"/>
    <s v="Computers"/>
    <x v="4"/>
    <x v="0"/>
    <x v="5"/>
    <n v="2"/>
    <n v="450000"/>
    <n v="320000"/>
    <x v="0"/>
    <n v="640000"/>
    <n v="260000"/>
    <n v="0.2888888888888889"/>
  </r>
  <r>
    <s v="SEP-021"/>
    <d v="2026-09-07T00:00:00"/>
    <x v="1"/>
    <s v="Phones"/>
    <x v="1"/>
    <x v="2"/>
    <x v="6"/>
    <n v="4"/>
    <n v="280000"/>
    <n v="205000"/>
    <x v="18"/>
    <n v="820000"/>
    <n v="300000"/>
    <n v="0.2678571428571428"/>
  </r>
  <r>
    <s v="SEP-022"/>
    <d v="2026-09-07T00:00:00"/>
    <x v="8"/>
    <s v="Storage"/>
    <x v="0"/>
    <x v="1"/>
    <x v="0"/>
    <n v="3"/>
    <n v="85000"/>
    <n v="57000"/>
    <x v="19"/>
    <n v="171000"/>
    <n v="84000"/>
    <n v="0.3294117647058823"/>
  </r>
  <r>
    <s v="SEP-023"/>
    <d v="2026-09-07T00:00:00"/>
    <x v="3"/>
    <s v="Accessories"/>
    <x v="2"/>
    <x v="0"/>
    <x v="1"/>
    <n v="2"/>
    <n v="150000"/>
    <n v="105000"/>
    <x v="3"/>
    <n v="210000"/>
    <n v="90000"/>
    <n v="0.3"/>
  </r>
  <r>
    <s v="SEP-024"/>
    <d v="2026-09-08T00:00:00"/>
    <x v="5"/>
    <s v="Computers"/>
    <x v="3"/>
    <x v="1"/>
    <x v="2"/>
    <n v="1"/>
    <n v="180000"/>
    <n v="125000"/>
    <x v="20"/>
    <n v="125000"/>
    <n v="55000"/>
    <n v="0.3055555555555556"/>
  </r>
  <r>
    <s v="SEP-025"/>
    <d v="2026-09-08T00:00:00"/>
    <x v="2"/>
    <s v="Accessories"/>
    <x v="0"/>
    <x v="2"/>
    <x v="3"/>
    <n v="6"/>
    <n v="25000"/>
    <n v="14000"/>
    <x v="21"/>
    <n v="84000"/>
    <n v="66000"/>
    <n v="0.44"/>
  </r>
  <r>
    <s v="SEP-026"/>
    <d v="2026-09-08T00:00:00"/>
    <x v="6"/>
    <s v="Networking"/>
    <x v="1"/>
    <x v="0"/>
    <x v="4"/>
    <n v="2"/>
    <n v="65000"/>
    <n v="42000"/>
    <x v="22"/>
    <n v="84000"/>
    <n v="46000"/>
    <n v="0.3538461538461539"/>
  </r>
  <r>
    <s v="SEP-027"/>
    <d v="2026-09-09T00:00:00"/>
    <x v="7"/>
    <s v="Office Equipment"/>
    <x v="0"/>
    <x v="1"/>
    <x v="5"/>
    <n v="1"/>
    <n v="135000"/>
    <n v="95000"/>
    <x v="7"/>
    <n v="95000"/>
    <n v="40000"/>
    <n v="0.2962962962962963"/>
  </r>
  <r>
    <s v="SEP-028"/>
    <d v="2026-09-09T00:00:00"/>
    <x v="4"/>
    <s v="Accessories"/>
    <x v="4"/>
    <x v="2"/>
    <x v="6"/>
    <n v="7"/>
    <n v="12000"/>
    <n v="6500"/>
    <x v="23"/>
    <n v="45500"/>
    <n v="38500"/>
    <n v="0.4583333333333333"/>
  </r>
  <r>
    <s v="SEP-029"/>
    <d v="2026-09-09T00:00:00"/>
    <x v="1"/>
    <s v="Phones"/>
    <x v="2"/>
    <x v="1"/>
    <x v="0"/>
    <n v="3"/>
    <n v="280000"/>
    <n v="205000"/>
    <x v="1"/>
    <n v="615000"/>
    <n v="225000"/>
    <n v="0.2678571428571428"/>
  </r>
  <r>
    <s v="SEP-030"/>
    <d v="2026-09-09T00:00:00"/>
    <x v="9"/>
    <s v="Accessories"/>
    <x v="1"/>
    <x v="2"/>
    <x v="1"/>
    <n v="5"/>
    <n v="38000"/>
    <n v="22000"/>
    <x v="24"/>
    <n v="110000"/>
    <n v="80000"/>
    <n v="0.4210526315789473"/>
  </r>
  <r>
    <s v="SEP-031"/>
    <d v="2026-09-10T00:00:00"/>
    <x v="0"/>
    <s v="Computers"/>
    <x v="0"/>
    <x v="0"/>
    <x v="2"/>
    <n v="3"/>
    <n v="450000"/>
    <n v="320000"/>
    <x v="25"/>
    <n v="960000"/>
    <n v="390000"/>
    <n v="0.2888888888888889"/>
  </r>
  <r>
    <s v="SEP-032"/>
    <d v="2026-09-10T00:00:00"/>
    <x v="5"/>
    <s v="Computers"/>
    <x v="1"/>
    <x v="1"/>
    <x v="3"/>
    <n v="2"/>
    <n v="180000"/>
    <n v="125000"/>
    <x v="5"/>
    <n v="250000"/>
    <n v="110000"/>
    <n v="0.3055555555555556"/>
  </r>
  <r>
    <s v="SEP-033"/>
    <d v="2026-09-10T00:00:00"/>
    <x v="8"/>
    <s v="Storage"/>
    <x v="3"/>
    <x v="2"/>
    <x v="4"/>
    <n v="2"/>
    <n v="85000"/>
    <n v="57000"/>
    <x v="26"/>
    <n v="114000"/>
    <n v="56000"/>
    <n v="0.3294117647058823"/>
  </r>
  <r>
    <s v="SEP-034"/>
    <d v="2026-09-11T00:00:00"/>
    <x v="3"/>
    <s v="Accessories"/>
    <x v="4"/>
    <x v="0"/>
    <x v="5"/>
    <n v="1"/>
    <n v="150000"/>
    <n v="105000"/>
    <x v="21"/>
    <n v="105000"/>
    <n v="45000"/>
    <n v="0.3"/>
  </r>
  <r>
    <s v="SEP-035"/>
    <d v="2026-09-11T00:00:00"/>
    <x v="2"/>
    <s v="Accessories"/>
    <x v="2"/>
    <x v="1"/>
    <x v="6"/>
    <n v="4"/>
    <n v="25000"/>
    <n v="14000"/>
    <x v="27"/>
    <n v="56000"/>
    <n v="44000"/>
    <n v="0.44"/>
  </r>
  <r>
    <s v="SEP-036"/>
    <d v="2026-09-11T00:00:00"/>
    <x v="1"/>
    <s v="Phones"/>
    <x v="0"/>
    <x v="2"/>
    <x v="0"/>
    <n v="2"/>
    <n v="280000"/>
    <n v="205000"/>
    <x v="11"/>
    <n v="410000"/>
    <n v="150000"/>
    <n v="0.2678571428571428"/>
  </r>
  <r>
    <s v="SEP-037"/>
    <d v="2026-09-12T00:00:00"/>
    <x v="6"/>
    <s v="Networking"/>
    <x v="1"/>
    <x v="1"/>
    <x v="1"/>
    <n v="3"/>
    <n v="65000"/>
    <n v="42000"/>
    <x v="6"/>
    <n v="126000"/>
    <n v="69000"/>
    <n v="0.3538461538461539"/>
  </r>
  <r>
    <s v="SEP-038"/>
    <d v="2026-09-12T00:00:00"/>
    <x v="7"/>
    <s v="Office Equipment"/>
    <x v="3"/>
    <x v="0"/>
    <x v="2"/>
    <n v="2"/>
    <n v="135000"/>
    <n v="95000"/>
    <x v="15"/>
    <n v="190000"/>
    <n v="80000"/>
    <n v="0.2962962962962963"/>
  </r>
  <r>
    <s v="SEP-039"/>
    <d v="2026-09-12T00:00:00"/>
    <x v="4"/>
    <s v="Accessories"/>
    <x v="0"/>
    <x v="2"/>
    <x v="3"/>
    <n v="8"/>
    <n v="12000"/>
    <n v="6500"/>
    <x v="28"/>
    <n v="52000"/>
    <n v="44000"/>
    <n v="0.4583333333333333"/>
  </r>
  <r>
    <s v="SEP-040"/>
    <d v="2026-09-12T00:00:00"/>
    <x v="0"/>
    <s v="Computers"/>
    <x v="2"/>
    <x v="0"/>
    <x v="4"/>
    <n v="1"/>
    <n v="450000"/>
    <n v="320000"/>
    <x v="10"/>
    <n v="320000"/>
    <n v="130000"/>
    <n v="0.2888888888888889"/>
  </r>
  <r>
    <s v="SEP-041"/>
    <d v="2026-09-13T00:00:00"/>
    <x v="9"/>
    <s v="Accessories"/>
    <x v="4"/>
    <x v="1"/>
    <x v="5"/>
    <n v="4"/>
    <n v="38000"/>
    <n v="22000"/>
    <x v="29"/>
    <n v="88000"/>
    <n v="64000"/>
    <n v="0.4210526315789473"/>
  </r>
  <r>
    <s v="SEP-042"/>
    <d v="2026-09-13T00:00:00"/>
    <x v="5"/>
    <s v="Computers"/>
    <x v="0"/>
    <x v="2"/>
    <x v="6"/>
    <n v="2"/>
    <n v="180000"/>
    <n v="125000"/>
    <x v="5"/>
    <n v="250000"/>
    <n v="110000"/>
    <n v="0.3055555555555556"/>
  </r>
  <r>
    <s v="SEP-043"/>
    <d v="2026-09-13T00:00:00"/>
    <x v="8"/>
    <s v="Storage"/>
    <x v="1"/>
    <x v="0"/>
    <x v="0"/>
    <n v="5"/>
    <n v="85000"/>
    <n v="57000"/>
    <x v="30"/>
    <n v="285000"/>
    <n v="140000"/>
    <n v="0.3294117647058823"/>
  </r>
  <r>
    <s v="SEP-044"/>
    <d v="2026-09-14T00:00:00"/>
    <x v="3"/>
    <s v="Accessories"/>
    <x v="0"/>
    <x v="1"/>
    <x v="1"/>
    <n v="3"/>
    <n v="150000"/>
    <n v="105000"/>
    <x v="10"/>
    <n v="315000"/>
    <n v="135000"/>
    <n v="0.3"/>
  </r>
  <r>
    <s v="SEP-045"/>
    <d v="2026-09-14T00:00:00"/>
    <x v="1"/>
    <s v="Phones"/>
    <x v="3"/>
    <x v="2"/>
    <x v="2"/>
    <n v="1"/>
    <n v="280000"/>
    <n v="205000"/>
    <x v="31"/>
    <n v="205000"/>
    <n v="75000"/>
    <n v="0.2678571428571428"/>
  </r>
  <r>
    <s v="SEP-046"/>
    <d v="2026-09-14T00:00:00"/>
    <x v="2"/>
    <s v="Accessories"/>
    <x v="1"/>
    <x v="1"/>
    <x v="3"/>
    <n v="7"/>
    <n v="25000"/>
    <n v="14000"/>
    <x v="32"/>
    <n v="98000"/>
    <n v="77000"/>
    <n v="0.44"/>
  </r>
  <r>
    <s v="SEP-047"/>
    <d v="2026-09-15T00:00:00"/>
    <x v="0"/>
    <s v="Computers"/>
    <x v="4"/>
    <x v="0"/>
    <x v="4"/>
    <n v="2"/>
    <n v="450000"/>
    <n v="320000"/>
    <x v="0"/>
    <n v="640000"/>
    <n v="260000"/>
    <n v="0.2888888888888889"/>
  </r>
  <r>
    <s v="SEP-048"/>
    <d v="2026-09-15T00:00:00"/>
    <x v="6"/>
    <s v="Networking"/>
    <x v="2"/>
    <x v="2"/>
    <x v="5"/>
    <n v="1"/>
    <n v="65000"/>
    <n v="42000"/>
    <x v="33"/>
    <n v="42000"/>
    <n v="23000"/>
    <n v="0.3538461538461539"/>
  </r>
  <r>
    <s v="SEP-049"/>
    <d v="2026-09-15T00:00:00"/>
    <x v="7"/>
    <s v="Office Equipment"/>
    <x v="0"/>
    <x v="0"/>
    <x v="6"/>
    <n v="3"/>
    <n v="135000"/>
    <n v="95000"/>
    <x v="34"/>
    <n v="285000"/>
    <n v="120000"/>
    <n v="0.2962962962962963"/>
  </r>
  <r>
    <s v="SEP-050"/>
    <d v="2026-09-15T00:00:00"/>
    <x v="4"/>
    <s v="Accessories"/>
    <x v="1"/>
    <x v="1"/>
    <x v="0"/>
    <n v="6"/>
    <n v="12000"/>
    <n v="6500"/>
    <x v="35"/>
    <n v="39000"/>
    <n v="33000"/>
    <n v="0.4583333333333333"/>
  </r>
  <r>
    <s v="SEP-051"/>
    <d v="2026-09-16T00:00:00"/>
    <x v="5"/>
    <s v="Computers"/>
    <x v="0"/>
    <x v="1"/>
    <x v="1"/>
    <n v="4"/>
    <n v="180000"/>
    <n v="125000"/>
    <x v="36"/>
    <n v="500000"/>
    <n v="220000"/>
    <n v="0.3055555555555556"/>
  </r>
  <r>
    <s v="SEP-052"/>
    <d v="2026-09-16T00:00:00"/>
    <x v="1"/>
    <s v="Phones"/>
    <x v="4"/>
    <x v="0"/>
    <x v="2"/>
    <n v="2"/>
    <n v="280000"/>
    <n v="205000"/>
    <x v="11"/>
    <n v="410000"/>
    <n v="150000"/>
    <n v="0.2678571428571428"/>
  </r>
  <r>
    <s v="SEP-053"/>
    <d v="2026-09-16T00:00:00"/>
    <x v="9"/>
    <s v="Accessories"/>
    <x v="3"/>
    <x v="2"/>
    <x v="3"/>
    <n v="3"/>
    <n v="38000"/>
    <n v="22000"/>
    <x v="17"/>
    <n v="66000"/>
    <n v="48000"/>
    <n v="0.4210526315789473"/>
  </r>
  <r>
    <s v="SEP-054"/>
    <d v="2026-09-17T00:00:00"/>
    <x v="8"/>
    <s v="Storage"/>
    <x v="0"/>
    <x v="1"/>
    <x v="4"/>
    <n v="2"/>
    <n v="85000"/>
    <n v="57000"/>
    <x v="26"/>
    <n v="114000"/>
    <n v="56000"/>
    <n v="0.3294117647058823"/>
  </r>
  <r>
    <s v="SEP-055"/>
    <d v="2026-09-17T00:00:00"/>
    <x v="3"/>
    <s v="Accessories"/>
    <x v="1"/>
    <x v="0"/>
    <x v="5"/>
    <n v="4"/>
    <n v="150000"/>
    <n v="105000"/>
    <x v="37"/>
    <n v="420000"/>
    <n v="180000"/>
    <n v="0.3"/>
  </r>
  <r>
    <s v="SEP-056"/>
    <d v="2026-09-17T00:00:00"/>
    <x v="2"/>
    <s v="Accessories"/>
    <x v="2"/>
    <x v="2"/>
    <x v="6"/>
    <n v="5"/>
    <n v="25000"/>
    <n v="14000"/>
    <x v="2"/>
    <n v="70000"/>
    <n v="55000"/>
    <n v="0.44"/>
  </r>
  <r>
    <s v="SEP-057"/>
    <d v="2026-09-18T00:00:00"/>
    <x v="0"/>
    <s v="Computers"/>
    <x v="0"/>
    <x v="0"/>
    <x v="0"/>
    <n v="1"/>
    <n v="450000"/>
    <n v="320000"/>
    <x v="10"/>
    <n v="320000"/>
    <n v="130000"/>
    <n v="0.2888888888888889"/>
  </r>
  <r>
    <s v="SEP-058"/>
    <d v="2026-09-18T00:00:00"/>
    <x v="7"/>
    <s v="Office Equipment"/>
    <x v="1"/>
    <x v="1"/>
    <x v="1"/>
    <n v="2"/>
    <n v="135000"/>
    <n v="95000"/>
    <x v="15"/>
    <n v="190000"/>
    <n v="80000"/>
    <n v="0.2962962962962963"/>
  </r>
  <r>
    <s v="SEP-059"/>
    <d v="2026-09-18T00:00:00"/>
    <x v="6"/>
    <s v="Networking"/>
    <x v="4"/>
    <x v="0"/>
    <x v="2"/>
    <n v="3"/>
    <n v="65000"/>
    <n v="42000"/>
    <x v="6"/>
    <n v="126000"/>
    <n v="69000"/>
    <n v="0.3538461538461539"/>
  </r>
  <r>
    <s v="SEP-060"/>
    <d v="2026-09-18T00:00:00"/>
    <x v="1"/>
    <s v="Phones"/>
    <x v="0"/>
    <x v="2"/>
    <x v="3"/>
    <n v="3"/>
    <n v="280000"/>
    <n v="205000"/>
    <x v="1"/>
    <n v="615000"/>
    <n v="225000"/>
    <n v="0.2678571428571428"/>
  </r>
  <r>
    <s v="SEP-061"/>
    <d v="2026-09-19T00:00:00"/>
    <x v="4"/>
    <s v="Accessories"/>
    <x v="2"/>
    <x v="1"/>
    <x v="4"/>
    <n v="4"/>
    <n v="12000"/>
    <n v="6500"/>
    <x v="4"/>
    <n v="26000"/>
    <n v="22000"/>
    <n v="0.4583333333333333"/>
  </r>
  <r>
    <s v="SEP-062"/>
    <d v="2026-09-19T00:00:00"/>
    <x v="5"/>
    <s v="Computers"/>
    <x v="1"/>
    <x v="0"/>
    <x v="5"/>
    <n v="2"/>
    <n v="180000"/>
    <n v="125000"/>
    <x v="5"/>
    <n v="250000"/>
    <n v="110000"/>
    <n v="0.3055555555555556"/>
  </r>
  <r>
    <s v="SEP-063"/>
    <d v="2026-09-19T00:00:00"/>
    <x v="9"/>
    <s v="Accessories"/>
    <x v="0"/>
    <x v="2"/>
    <x v="6"/>
    <n v="6"/>
    <n v="38000"/>
    <n v="22000"/>
    <x v="9"/>
    <n v="132000"/>
    <n v="96000"/>
    <n v="0.4210526315789473"/>
  </r>
  <r>
    <s v="SEP-064"/>
    <d v="2026-09-20T00:00:00"/>
    <x v="8"/>
    <s v="Storage"/>
    <x v="4"/>
    <x v="1"/>
    <x v="0"/>
    <n v="3"/>
    <n v="85000"/>
    <n v="57000"/>
    <x v="19"/>
    <n v="171000"/>
    <n v="84000"/>
    <n v="0.3294117647058823"/>
  </r>
  <r>
    <s v="SEP-065"/>
    <d v="2026-09-20T00:00:00"/>
    <x v="3"/>
    <s v="Accessories"/>
    <x v="3"/>
    <x v="0"/>
    <x v="1"/>
    <n v="2"/>
    <n v="150000"/>
    <n v="105000"/>
    <x v="3"/>
    <n v="210000"/>
    <n v="90000"/>
    <n v="0.3"/>
  </r>
  <r>
    <s v="SEP-066"/>
    <d v="2026-09-20T00:00:00"/>
    <x v="2"/>
    <s v="Accessories"/>
    <x v="0"/>
    <x v="1"/>
    <x v="2"/>
    <n v="4"/>
    <n v="25000"/>
    <n v="14000"/>
    <x v="27"/>
    <n v="56000"/>
    <n v="44000"/>
    <n v="0.44"/>
  </r>
  <r>
    <s v="SEP-067"/>
    <d v="2026-09-21T00:00:00"/>
    <x v="0"/>
    <s v="Computers"/>
    <x v="1"/>
    <x v="0"/>
    <x v="3"/>
    <n v="2"/>
    <n v="450000"/>
    <n v="320000"/>
    <x v="0"/>
    <n v="640000"/>
    <n v="260000"/>
    <n v="0.2888888888888889"/>
  </r>
  <r>
    <s v="SEP-068"/>
    <d v="2026-09-21T00:00:00"/>
    <x v="1"/>
    <s v="Phones"/>
    <x v="2"/>
    <x v="2"/>
    <x v="4"/>
    <n v="1"/>
    <n v="280000"/>
    <n v="205000"/>
    <x v="31"/>
    <n v="205000"/>
    <n v="75000"/>
    <n v="0.2678571428571428"/>
  </r>
  <r>
    <s v="SEP-069"/>
    <d v="2026-09-21T00:00:00"/>
    <x v="7"/>
    <s v="Office Equipment"/>
    <x v="0"/>
    <x v="0"/>
    <x v="5"/>
    <n v="2"/>
    <n v="135000"/>
    <n v="95000"/>
    <x v="15"/>
    <n v="190000"/>
    <n v="80000"/>
    <n v="0.2962962962962963"/>
  </r>
  <r>
    <s v="SEP-070"/>
    <d v="2026-09-21T00:00:00"/>
    <x v="6"/>
    <s v="Networking"/>
    <x v="1"/>
    <x v="1"/>
    <x v="6"/>
    <n v="4"/>
    <n v="65000"/>
    <n v="42000"/>
    <x v="16"/>
    <n v="168000"/>
    <n v="92000"/>
    <n v="0.3538461538461539"/>
  </r>
  <r>
    <s v="SEP-071"/>
    <d v="2026-09-22T00:00:00"/>
    <x v="5"/>
    <s v="Computers"/>
    <x v="4"/>
    <x v="2"/>
    <x v="0"/>
    <n v="3"/>
    <n v="180000"/>
    <n v="125000"/>
    <x v="13"/>
    <n v="375000"/>
    <n v="165000"/>
    <n v="0.3055555555555556"/>
  </r>
  <r>
    <s v="SEP-072"/>
    <d v="2026-09-22T00:00:00"/>
    <x v="4"/>
    <s v="Accessories"/>
    <x v="0"/>
    <x v="1"/>
    <x v="1"/>
    <n v="5"/>
    <n v="12000"/>
    <n v="6500"/>
    <x v="14"/>
    <n v="32500"/>
    <n v="27500"/>
    <n v="0.4583333333333333"/>
  </r>
  <r>
    <s v="SEP-073"/>
    <d v="2026-09-22T00:00:00"/>
    <x v="9"/>
    <s v="Accessories"/>
    <x v="1"/>
    <x v="0"/>
    <x v="2"/>
    <n v="2"/>
    <n v="38000"/>
    <n v="22000"/>
    <x v="38"/>
    <n v="44000"/>
    <n v="32000"/>
    <n v="0.4210526315789473"/>
  </r>
  <r>
    <s v="SEP-074"/>
    <d v="2026-09-23T00:00:00"/>
    <x v="8"/>
    <s v="Storage"/>
    <x v="2"/>
    <x v="1"/>
    <x v="3"/>
    <n v="4"/>
    <n v="85000"/>
    <n v="57000"/>
    <x v="8"/>
    <n v="228000"/>
    <n v="112000"/>
    <n v="0.3294117647058823"/>
  </r>
  <r>
    <s v="SEP-075"/>
    <d v="2026-09-23T00:00:00"/>
    <x v="3"/>
    <s v="Accessories"/>
    <x v="0"/>
    <x v="0"/>
    <x v="4"/>
    <n v="1"/>
    <n v="150000"/>
    <n v="105000"/>
    <x v="21"/>
    <n v="105000"/>
    <n v="45000"/>
    <n v="0.3"/>
  </r>
  <r>
    <s v="SEP-076"/>
    <d v="2026-09-23T00:00:00"/>
    <x v="2"/>
    <s v="Accessories"/>
    <x v="3"/>
    <x v="2"/>
    <x v="5"/>
    <n v="6"/>
    <n v="25000"/>
    <n v="14000"/>
    <x v="21"/>
    <n v="84000"/>
    <n v="66000"/>
    <n v="0.44"/>
  </r>
  <r>
    <s v="SEP-077"/>
    <d v="2026-09-24T00:00:00"/>
    <x v="0"/>
    <s v="Computers"/>
    <x v="0"/>
    <x v="0"/>
    <x v="6"/>
    <n v="2"/>
    <n v="450000"/>
    <n v="320000"/>
    <x v="0"/>
    <n v="640000"/>
    <n v="260000"/>
    <n v="0.2888888888888889"/>
  </r>
  <r>
    <s v="SEP-078"/>
    <d v="2026-09-24T00:00:00"/>
    <x v="1"/>
    <s v="Phones"/>
    <x v="1"/>
    <x v="1"/>
    <x v="0"/>
    <n v="3"/>
    <n v="280000"/>
    <n v="205000"/>
    <x v="1"/>
    <n v="615000"/>
    <n v="225000"/>
    <n v="0.2678571428571428"/>
  </r>
  <r>
    <s v="SEP-079"/>
    <d v="2026-09-24T00:00:00"/>
    <x v="7"/>
    <s v="Office Equipment"/>
    <x v="4"/>
    <x v="0"/>
    <x v="1"/>
    <n v="1"/>
    <n v="135000"/>
    <n v="95000"/>
    <x v="7"/>
    <n v="95000"/>
    <n v="40000"/>
    <n v="0.2962962962962963"/>
  </r>
  <r>
    <s v="SEP-080"/>
    <d v="2026-09-24T00:00:00"/>
    <x v="6"/>
    <s v="Networking"/>
    <x v="0"/>
    <x v="2"/>
    <x v="2"/>
    <n v="2"/>
    <n v="65000"/>
    <n v="42000"/>
    <x v="22"/>
    <n v="84000"/>
    <n v="46000"/>
    <n v="0.3538461538461539"/>
  </r>
  <r>
    <s v="SEP-081"/>
    <d v="2026-09-25T00:00:00"/>
    <x v="5"/>
    <s v="Computers"/>
    <x v="2"/>
    <x v="1"/>
    <x v="3"/>
    <n v="2"/>
    <n v="180000"/>
    <n v="125000"/>
    <x v="5"/>
    <n v="250000"/>
    <n v="110000"/>
    <n v="0.3055555555555556"/>
  </r>
  <r>
    <s v="SEP-082"/>
    <d v="2026-09-25T00:00:00"/>
    <x v="4"/>
    <s v="Accessories"/>
    <x v="1"/>
    <x v="2"/>
    <x v="4"/>
    <n v="7"/>
    <n v="12000"/>
    <n v="6500"/>
    <x v="23"/>
    <n v="45500"/>
    <n v="38500"/>
    <n v="0.4583333333333333"/>
  </r>
  <r>
    <s v="SEP-083"/>
    <d v="2026-09-25T00:00:00"/>
    <x v="9"/>
    <s v="Accessories"/>
    <x v="0"/>
    <x v="1"/>
    <x v="5"/>
    <n v="4"/>
    <n v="38000"/>
    <n v="22000"/>
    <x v="29"/>
    <n v="88000"/>
    <n v="64000"/>
    <n v="0.4210526315789473"/>
  </r>
  <r>
    <s v="SEP-084"/>
    <d v="2026-09-25T00:00:00"/>
    <x v="8"/>
    <s v="Storage"/>
    <x v="3"/>
    <x v="0"/>
    <x v="6"/>
    <n v="2"/>
    <n v="85000"/>
    <n v="57000"/>
    <x v="26"/>
    <n v="114000"/>
    <n v="56000"/>
    <n v="0.3294117647058823"/>
  </r>
  <r>
    <s v="SEP-085"/>
    <d v="2026-09-26T00:00:00"/>
    <x v="3"/>
    <s v="Accessories"/>
    <x v="1"/>
    <x v="1"/>
    <x v="0"/>
    <n v="3"/>
    <n v="150000"/>
    <n v="105000"/>
    <x v="10"/>
    <n v="315000"/>
    <n v="135000"/>
    <n v="0.3"/>
  </r>
  <r>
    <s v="SEP-086"/>
    <d v="2026-09-26T00:00:00"/>
    <x v="2"/>
    <s v="Accessories"/>
    <x v="0"/>
    <x v="2"/>
    <x v="1"/>
    <n v="5"/>
    <n v="25000"/>
    <n v="14000"/>
    <x v="2"/>
    <n v="70000"/>
    <n v="55000"/>
    <n v="0.44"/>
  </r>
  <r>
    <s v="SEP-087"/>
    <d v="2026-09-26T00:00:00"/>
    <x v="0"/>
    <s v="Computers"/>
    <x v="2"/>
    <x v="0"/>
    <x v="2"/>
    <n v="1"/>
    <n v="450000"/>
    <n v="320000"/>
    <x v="10"/>
    <n v="320000"/>
    <n v="130000"/>
    <n v="0.2888888888888889"/>
  </r>
  <r>
    <s v="SEP-088"/>
    <d v="2026-09-27T00:00:00"/>
    <x v="1"/>
    <s v="Phones"/>
    <x v="0"/>
    <x v="1"/>
    <x v="3"/>
    <n v="2"/>
    <n v="280000"/>
    <n v="205000"/>
    <x v="11"/>
    <n v="410000"/>
    <n v="150000"/>
    <n v="0.2678571428571428"/>
  </r>
  <r>
    <s v="SEP-089"/>
    <d v="2026-09-27T00:00:00"/>
    <x v="7"/>
    <s v="Office Equipment"/>
    <x v="3"/>
    <x v="0"/>
    <x v="4"/>
    <n v="2"/>
    <n v="135000"/>
    <n v="95000"/>
    <x v="15"/>
    <n v="190000"/>
    <n v="80000"/>
    <n v="0.2962962962962963"/>
  </r>
  <r>
    <s v="SEP-090"/>
    <d v="2026-09-27T00:00:00"/>
    <x v="6"/>
    <s v="Networking"/>
    <x v="4"/>
    <x v="2"/>
    <x v="5"/>
    <n v="3"/>
    <n v="65000"/>
    <n v="42000"/>
    <x v="6"/>
    <n v="126000"/>
    <n v="69000"/>
    <n v="0.3538461538461539"/>
  </r>
  <r>
    <s v="SEP-091"/>
    <d v="2026-09-28T00:00:00"/>
    <x v="5"/>
    <s v="Computers"/>
    <x v="0"/>
    <x v="0"/>
    <x v="6"/>
    <n v="1"/>
    <n v="180000"/>
    <n v="125000"/>
    <x v="20"/>
    <n v="125000"/>
    <n v="55000"/>
    <n v="0.3055555555555556"/>
  </r>
  <r>
    <s v="SEP-092"/>
    <d v="2026-09-28T00:00:00"/>
    <x v="4"/>
    <s v="Accessories"/>
    <x v="2"/>
    <x v="1"/>
    <x v="0"/>
    <n v="8"/>
    <n v="12000"/>
    <n v="6500"/>
    <x v="28"/>
    <n v="52000"/>
    <n v="44000"/>
    <n v="0.4583333333333333"/>
  </r>
  <r>
    <s v="SEP-093"/>
    <d v="2026-09-28T00:00:00"/>
    <x v="9"/>
    <s v="Accessories"/>
    <x v="1"/>
    <x v="2"/>
    <x v="1"/>
    <n v="3"/>
    <n v="38000"/>
    <n v="22000"/>
    <x v="17"/>
    <n v="66000"/>
    <n v="48000"/>
    <n v="0.4210526315789473"/>
  </r>
  <r>
    <s v="SEP-094"/>
    <d v="2026-09-29T00:00:00"/>
    <x v="8"/>
    <s v="Storage"/>
    <x v="0"/>
    <x v="0"/>
    <x v="2"/>
    <n v="2"/>
    <n v="85000"/>
    <n v="57000"/>
    <x v="26"/>
    <n v="114000"/>
    <n v="56000"/>
    <n v="0.3294117647058823"/>
  </r>
  <r>
    <s v="SEP-095"/>
    <d v="2026-09-29T00:00:00"/>
    <x v="3"/>
    <s v="Accessories"/>
    <x v="4"/>
    <x v="1"/>
    <x v="3"/>
    <n v="2"/>
    <n v="150000"/>
    <n v="105000"/>
    <x v="3"/>
    <n v="210000"/>
    <n v="90000"/>
    <n v="0.3"/>
  </r>
  <r>
    <s v="SEP-096"/>
    <d v="2026-09-29T00:00:00"/>
    <x v="2"/>
    <s v="Accessories"/>
    <x v="1"/>
    <x v="2"/>
    <x v="4"/>
    <n v="4"/>
    <n v="25000"/>
    <n v="14000"/>
    <x v="27"/>
    <n v="56000"/>
    <n v="44000"/>
    <n v="0.44"/>
  </r>
  <r>
    <s v="SEP-097"/>
    <d v="2026-09-30T00:00:00"/>
    <x v="0"/>
    <s v="Computers"/>
    <x v="0"/>
    <x v="0"/>
    <x v="5"/>
    <n v="1"/>
    <n v="450000"/>
    <n v="320000"/>
    <x v="10"/>
    <n v="320000"/>
    <n v="130000"/>
    <n v="0.2888888888888889"/>
  </r>
  <r>
    <s v="SEP-098"/>
    <d v="2026-09-30T00:00:00"/>
    <x v="1"/>
    <s v="Phones"/>
    <x v="3"/>
    <x v="1"/>
    <x v="6"/>
    <n v="2"/>
    <n v="280000"/>
    <n v="205000"/>
    <x v="11"/>
    <n v="410000"/>
    <n v="150000"/>
    <n v="0.2678571428571428"/>
  </r>
  <r>
    <s v="SEP-099"/>
    <d v="2026-09-30T00:00:00"/>
    <x v="7"/>
    <s v="Office Equipment"/>
    <x v="1"/>
    <x v="0"/>
    <x v="0"/>
    <n v="1"/>
    <n v="135000"/>
    <n v="95000"/>
    <x v="7"/>
    <n v="95000"/>
    <n v="40000"/>
    <n v="0.2962962962962963"/>
  </r>
  <r>
    <s v="SEP-100"/>
    <d v="2026-09-30T00:00:00"/>
    <x v="6"/>
    <s v="Networking"/>
    <x v="0"/>
    <x v="1"/>
    <x v="1"/>
    <n v="3"/>
    <n v="65000"/>
    <n v="42000"/>
    <x v="6"/>
    <n v="126000"/>
    <n v="69000"/>
    <n v="0.3538461538461539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2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3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4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PivotTable2" cacheId="14" dataOnRows="0" dataCaption="Values" showError="0" showMissing="1" updatedVersion="7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7" indent="0" showEmptyRow="0" showEmptyCol="0" showHeaders="1" compact="1" outline="1" outlineData="1" compactData="1" published="0" gridDropZones="0" immersive="1" multipleFieldFilters="0" chartFormat="7" fieldListSortAscending="0" mdxSubqueries="0" applyNumberFormats="0" applyBorderFormats="0" applyFontFormats="0" applyPatternFormats="0" applyAlignmentFormats="0" applyWidthHeightFormats="1" r:id="rId1">
  <location ref="A3:B14" firstHeaderRow="1" firstDataRow="1" firstDataCol="1"/>
  <pivotFields count="14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numFmtId="15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11">
        <item t="data" sd="1" x="8"/>
        <item t="data" sd="1" x="9"/>
        <item t="data" sd="1" x="2"/>
        <item t="data" sd="1" x="0"/>
        <item t="data" sd="1" x="3"/>
        <item t="data" sd="1" x="4"/>
        <item t="data" sd="1" x="7"/>
        <item t="data" sd="1" x="6"/>
        <item t="data" sd="1" x="1"/>
        <item t="data" sd="1" x="5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>
      <items count="6">
        <item t="data" sd="1" x="0"/>
        <item t="data" sd="1" x="3"/>
        <item t="data" sd="1" x="2"/>
        <item t="data" sd="1" x="1"/>
        <item t="data" sd="1" x="4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>
      <items count="4">
        <item t="data" sd="1" x="0"/>
        <item t="data" sd="1" x="2"/>
        <item t="data" sd="1" x="1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>
      <items count="8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numFmtId="167" outline="1" subtotalTop="1" dragToRow="1" dragToCol="1" dragToPage="1" dragToData="1" dragOff="1" showAll="0" topAutoShow="1" itemPageCount="10" sortType="manual" defaultSubtotal="1"/>
    <pivotField showDropDowns="1" compact="1" numFmtId="167" outline="1" subtotalTop="1" dragToRow="1" dragToCol="1" dragToPage="1" dragToData="1" dragOff="1" showAll="0" topAutoShow="1" itemPageCount="10" sortType="manual" defaultSubtotal="1"/>
    <pivotField dataField="1" showDropDowns="1" compact="1" numFmtId="167" outline="1" subtotalTop="1" dragToRow="1" dragToCol="1" dragToPage="1" dragToData="1" dragOff="1" showAll="0" topAutoShow="1" itemPageCount="10" sortType="manual" defaultSubtotal="1"/>
    <pivotField showDropDowns="1" compact="1" numFmtId="167" outline="1" subtotalTop="1" dragToRow="1" dragToCol="1" dragToPage="1" dragToData="1" dragOff="1" showAll="0" topAutoShow="1" itemPageCount="10" sortType="manual" defaultSubtotal="1"/>
    <pivotField showDropDowns="1" compact="1" numFmtId="167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2"/>
  </rowFields>
  <rowItems count="11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data" r="0" i="0">
      <x v="8"/>
    </i>
    <i t="data" r="0" i="0">
      <x v="9"/>
    </i>
    <i t="grand" r="0" i="0">
      <x v="0"/>
    </i>
  </rowItems>
  <colItems count="1">
    <i t="data" r="0" i="0"/>
  </colItems>
  <dataFields count="1">
    <dataField name="Sum of Revenue" fld="10" subtotal="sum" showDataAs="normal" baseField="0" baseItem="0"/>
  </dataFields>
  <formats count="2">
    <format action="formatting" dxfId="15">
      <pivotArea type="normal" dataOnly="1" outline="0" collapsedLevelsAreSubtotals="1" fieldPosition="0"/>
    </format>
    <format action="formatting" dxfId="14">
      <pivotArea type="normal" dataOnly="0" labelOnly="1" outline="0" axis="axisValues" fieldPosition="0"/>
    </format>
  </formats>
  <chartFormats count="1">
    <chartFormat chart="2" format="7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:r="http://schemas.openxmlformats.org/officeDocument/2006/relationships" xmlns="http://schemas.openxmlformats.org/spreadsheetml/2006/main" name="PivotTable3" cacheId="14" dataOnRows="0" dataCaption="Values" showError="0" showMissing="1" updatedVersion="7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7" indent="0" showEmptyRow="0" showEmptyCol="0" showHeaders="1" compact="1" outline="1" outlineData="1" compactData="1" published="0" gridDropZones="0" immersive="1" multipleFieldFilters="0" chartFormat="3" fieldListSortAscending="0" mdxSubqueries="0" applyNumberFormats="0" applyBorderFormats="0" applyFontFormats="0" applyPatternFormats="0" applyAlignmentFormats="0" applyWidthHeightFormats="1" r:id="rId1">
  <location ref="A3:B9" firstHeaderRow="1" firstDataRow="1" firstDataCol="1"/>
  <pivotFields count="14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numFmtId="15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6">
        <item t="data" sd="1" x="0"/>
        <item t="data" sd="1" x="3"/>
        <item t="data" sd="1" x="2"/>
        <item t="data" sd="1" x="1"/>
        <item t="data" sd="1" x="4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numFmtId="167" outline="1" subtotalTop="1" dragToRow="1" dragToCol="1" dragToPage="1" dragToData="1" dragOff="1" showAll="0" topAutoShow="1" itemPageCount="10" sortType="manual" defaultSubtotal="1"/>
    <pivotField showDropDowns="1" compact="1" numFmtId="167" outline="1" subtotalTop="1" dragToRow="1" dragToCol="1" dragToPage="1" dragToData="1" dragOff="1" showAll="0" topAutoShow="1" itemPageCount="10" sortType="manual" defaultSubtotal="1"/>
    <pivotField showDropDowns="1" compact="1" numFmtId="167" outline="1" subtotalTop="1" dragToRow="1" dragToCol="1" dragToPage="1" dragToData="1" dragOff="1" showAll="0" topAutoShow="1" itemPageCount="10" sortType="manual" defaultSubtotal="1"/>
    <pivotField showDropDowns="1" compact="1" numFmtId="167" outline="1" subtotalTop="1" dragToRow="1" dragToCol="1" dragToPage="1" dragToData="1" dragOff="1" showAll="0" topAutoShow="1" itemPageCount="10" sortType="manual" defaultSubtotal="1"/>
    <pivotField dataField="1" showDropDowns="1" compact="1" numFmtId="167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4"/>
  </rowFields>
  <rowItems count="6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grand" r="0" i="0">
      <x v="0"/>
    </i>
  </rowItems>
  <colItems count="1">
    <i t="data" r="0" i="0"/>
  </colItems>
  <dataFields count="1">
    <dataField name="Sum of Profit" fld="12" subtotal="sum" showDataAs="normal" baseField="0" baseItem="0"/>
  </dataFields>
  <chartFormats count="1">
    <chartFormat chart="2" format="2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:r="http://schemas.openxmlformats.org/officeDocument/2006/relationships" xmlns="http://schemas.openxmlformats.org/spreadsheetml/2006/main" name="PivotTable4" cacheId="14" dataOnRows="0" dataCaption="Values" showError="0" showMissing="1" updatedVersion="7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7" indent="0" showEmptyRow="0" showEmptyCol="0" showHeaders="1" compact="1" outline="1" outlineData="1" compactData="1" published="0" gridDropZones="0" immersive="1" multipleFieldFilters="0" chartFormat="4" fieldListSortAscending="0" mdxSubqueries="0" applyNumberFormats="0" applyBorderFormats="0" applyFontFormats="0" applyPatternFormats="0" applyAlignmentFormats="0" applyWidthHeightFormats="1" r:id="rId1">
  <location ref="A3:B7" firstHeaderRow="1" firstDataRow="1" firstDataCol="1"/>
  <pivotFields count="14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numFmtId="15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4">
        <item t="data" sd="1" x="0"/>
        <item t="data" sd="1" x="2"/>
        <item t="data" sd="1" x="1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numFmtId="167" outline="1" subtotalTop="1" dragToRow="1" dragToCol="1" dragToPage="1" dragToData="1" dragOff="1" showAll="0" topAutoShow="1" itemPageCount="10" sortType="manual" defaultSubtotal="1"/>
    <pivotField showDropDowns="1" compact="1" numFmtId="167" outline="1" subtotalTop="1" dragToRow="1" dragToCol="1" dragToPage="1" dragToData="1" dragOff="1" showAll="0" topAutoShow="1" itemPageCount="10" sortType="manual" defaultSubtotal="1"/>
    <pivotField dataField="1" showDropDowns="1" compact="1" numFmtId="167" outline="1" subtotalTop="1" dragToRow="1" dragToCol="1" dragToPage="1" dragToData="1" dragOff="1" showAll="0" topAutoShow="1" itemPageCount="10" sortType="manual" defaultSubtotal="1"/>
    <pivotField showDropDowns="1" compact="1" numFmtId="167" outline="1" subtotalTop="1" dragToRow="1" dragToCol="1" dragToPage="1" dragToData="1" dragOff="1" showAll="0" topAutoShow="1" itemPageCount="10" sortType="manual" defaultSubtotal="1"/>
    <pivotField showDropDowns="1" compact="1" numFmtId="167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5"/>
  </rowFields>
  <rowItems count="4">
    <i t="data" r="0" i="0">
      <x v="0"/>
    </i>
    <i t="data" r="0" i="0">
      <x v="1"/>
    </i>
    <i t="data" r="0" i="0">
      <x v="2"/>
    </i>
    <i t="grand" r="0" i="0">
      <x v="0"/>
    </i>
  </rowItems>
  <colItems count="1">
    <i t="data" r="0" i="0"/>
  </colItems>
  <dataFields count="1">
    <dataField name="Sum of Revenue" fld="10" subtotal="sum" showDataAs="normal" baseField="0" baseItem="0"/>
  </dataFields>
  <chartFormats count="1">
    <chartFormat chart="2" format="2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:r="http://schemas.openxmlformats.org/officeDocument/2006/relationships" xmlns="http://schemas.openxmlformats.org/spreadsheetml/2006/main" name="PivotTable6" cacheId="14" dataOnRows="0" dataCaption="Values" showError="0" showMissing="1" updatedVersion="7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7" indent="0" showEmptyRow="0" showEmptyCol="0" showHeaders="1" compact="1" outline="1" outlineData="1" compactData="1" published="0" gridDropZones="0" immersive="1" multipleFieldFilters="0" chartFormat="3" fieldListSortAscending="0" mdxSubqueries="0" applyNumberFormats="0" applyBorderFormats="0" applyFontFormats="0" applyPatternFormats="0" applyAlignmentFormats="0" applyWidthHeightFormats="1" r:id="rId1">
  <location ref="A3:B11" firstHeaderRow="1" firstDataRow="1" firstDataCol="1"/>
  <pivotFields count="14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numFmtId="15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8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numFmtId="167" outline="1" subtotalTop="1" dragToRow="1" dragToCol="1" dragToPage="1" dragToData="1" dragOff="1" showAll="0" topAutoShow="1" itemPageCount="10" sortType="manual" defaultSubtotal="1"/>
    <pivotField showDropDowns="1" compact="1" numFmtId="167" outline="1" subtotalTop="1" dragToRow="1" dragToCol="1" dragToPage="1" dragToData="1" dragOff="1" showAll="0" topAutoShow="1" itemPageCount="10" sortType="manual" defaultSubtotal="1"/>
    <pivotField dataField="1" showDropDowns="1" compact="1" numFmtId="167" outline="1" subtotalTop="1" dragToRow="1" dragToCol="1" dragToPage="1" dragToData="1" dragOff="1" showAll="0" topAutoShow="1" itemPageCount="10" sortType="manual" defaultSubtotal="1"/>
    <pivotField showDropDowns="1" compact="1" numFmtId="167" outline="1" subtotalTop="1" dragToRow="1" dragToCol="1" dragToPage="1" dragToData="1" dragOff="1" showAll="0" topAutoShow="1" itemPageCount="10" sortType="manual" defaultSubtotal="1"/>
    <pivotField showDropDowns="1" compact="1" numFmtId="167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6"/>
  </rowFields>
  <rowItems count="8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grand" r="0" i="0">
      <x v="0"/>
    </i>
  </rowItems>
  <colItems count="1">
    <i t="data" r="0" i="0"/>
  </colItems>
  <dataFields count="1">
    <dataField name="Sum of Revenue" fld="10" subtotal="sum" showDataAs="normal" baseField="0" baseItem="0"/>
  </dataFields>
  <chartFormats count="1">
    <chartFormat chart="2" format="2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Table2" displayName="Table2" ref="E3:E4" headerRowCount="1" totalsRowShown="0" headerRowDxfId="11" dataDxfId="12" headerRowCellStyle="Percent" dataCellStyle="Percent">
  <autoFilter ref="E3:E4"/>
  <tableColumns count="1">
    <tableColumn id="1" name="PROFIT MARGINS" dataDxfId="13" dataCellStyle="Perce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3" displayName="Table3" ref="C3:C4" headerRowCount="1" totalsRowShown="0" headerRowDxfId="9">
  <autoFilter ref="C3:C4"/>
  <tableColumns count="1">
    <tableColumn id="1" name="TOTAL PROFIT" dataDxfId="1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4" displayName="Table4" ref="A3:A4" headerRowCount="1" totalsRowShown="0" headerRowDxfId="6" dataDxfId="7" headerRowCellStyle="Currency" dataCellStyle="Currency">
  <autoFilter ref="A3:A4"/>
  <tableColumns count="1">
    <tableColumn id="1" name="TOTAL REVENUE" dataDxfId="8" dataCellStyle="Currency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5" displayName="Table5" ref="G3:G4" headerRowCount="1" totalsRowShown="0">
  <autoFilter ref="G3:G4"/>
  <tableColumns count="1">
    <tableColumn id="1" name="TRANSACTION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e1" displayName="Table1" ref="A1:N102" headerRowCount="1" totalsRowCount="1" headerRowDxfId="16">
  <autoFilter ref="A1:N101"/>
  <tableColumns count="14">
    <tableColumn id="1" name="Order ID"/>
    <tableColumn id="2" name="Order Date" dataDxfId="22" totalsRowDxfId="5"/>
    <tableColumn id="3" name="Product"/>
    <tableColumn id="4" name="Category"/>
    <tableColumn id="5" name="Region"/>
    <tableColumn id="6" name="Sales Channel"/>
    <tableColumn id="7" name="Sales Rep"/>
    <tableColumn id="8" name="Quantity"/>
    <tableColumn id="9" name="Unit Price" dataDxfId="21" totalsRowDxfId="4"/>
    <tableColumn id="10" name="Unit Cost" dataDxfId="20" totalsRowDxfId="3"/>
    <tableColumn id="11" name="Revenue" totalsRowFunction="custom" dataDxfId="19" totalsRowDxfId="2">
      <calculatedColumnFormula>H2*I2</calculatedColumnFormula>
      <totalsRowFormula>SUM(K2:K101)</totalsRowFormula>
    </tableColumn>
    <tableColumn id="12" name="Total Cost" dataDxfId="18" totalsRowDxfId="1">
      <calculatedColumnFormula>H2*J2</calculatedColumnFormula>
    </tableColumn>
    <tableColumn id="13" name="Profit" totalsRowFunction="custom" dataDxfId="17" totalsRowDxfId="0">
      <calculatedColumnFormula>K2-L2</calculatedColumnFormula>
      <totalsRowFormula>SUM(M2:M101)</totalsRowFormula>
    </tableColumn>
    <tableColumn id="14" name="Profit Margin">
      <calculatedColumnFormula>IFERROR(M2/K2,0)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pivotTable" Target="/xl/pivotTables/pivotTable1.xml" Id="rId1"/></Relationships>
</file>

<file path=xl/worksheets/_rels/sheet2.xml.rels><Relationships xmlns="http://schemas.openxmlformats.org/package/2006/relationships"><Relationship Type="http://schemas.openxmlformats.org/officeDocument/2006/relationships/pivotTable" Target="/xl/pivotTables/pivotTable2.xml" Id="rId1"/></Relationships>
</file>

<file path=xl/worksheets/_rels/sheet3.xml.rels><Relationships xmlns="http://schemas.openxmlformats.org/package/2006/relationships"><Relationship Type="http://schemas.openxmlformats.org/officeDocument/2006/relationships/pivotTable" Target="/xl/pivotTables/pivotTable3.xml" Id="rId1"/></Relationships>
</file>

<file path=xl/worksheets/_rels/sheet4.xml.rels><Relationships xmlns="http://schemas.openxmlformats.org/package/2006/relationships"><Relationship Type="http://schemas.openxmlformats.org/officeDocument/2006/relationships/pivotTable" Target="/xl/pivotTables/pivotTable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Relationship Type="http://schemas.openxmlformats.org/officeDocument/2006/relationships/table" Target="/xl/tables/table2.xml" Id="rId3"/><Relationship Type="http://schemas.openxmlformats.org/officeDocument/2006/relationships/table" Target="/xl/tables/table3.xml" Id="rId4"/><Relationship Type="http://schemas.openxmlformats.org/officeDocument/2006/relationships/table" Target="/xl/tables/table4.xml" Id="rId5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9"/>
  <sheetViews>
    <sheetView workbookViewId="0">
      <pane ySplit="3" topLeftCell="A4" activePane="bottomLeft" state="frozen"/>
      <selection pane="bottomLeft" activeCell="A3" sqref="A3"/>
    </sheetView>
  </sheetViews>
  <sheetFormatPr baseColWidth="8" defaultRowHeight="14.5"/>
  <cols>
    <col width="27" bestFit="1" customWidth="1" style="12" min="1" max="1"/>
    <col width="20" bestFit="1" customWidth="1" style="13" min="2" max="2"/>
    <col width="18.1796875" bestFit="1" customWidth="1" style="5" min="3" max="3"/>
  </cols>
  <sheetData>
    <row r="1">
      <c r="A1" s="14" t="inlineStr">
        <is>
          <t>Revenue by Product</t>
        </is>
      </c>
    </row>
    <row r="3">
      <c r="A3" s="15" t="inlineStr">
        <is>
          <t>Row Labels</t>
        </is>
      </c>
      <c r="B3" s="16" t="inlineStr">
        <is>
          <t>Sum of Revenue</t>
        </is>
      </c>
    </row>
    <row r="4">
      <c r="A4" s="17" t="inlineStr">
        <is>
          <t>External SSD</t>
        </is>
      </c>
      <c r="B4" s="18" t="n">
        <v>2295000</v>
      </c>
    </row>
    <row r="5">
      <c r="A5" s="17" t="inlineStr">
        <is>
          <t>Headphones</t>
        </is>
      </c>
      <c r="B5" s="18" t="n">
        <v>1368000</v>
      </c>
    </row>
    <row r="6">
      <c r="A6" s="17" t="inlineStr">
        <is>
          <t>Keyboard</t>
        </is>
      </c>
      <c r="B6" s="18" t="n">
        <v>1350000</v>
      </c>
    </row>
    <row r="7">
      <c r="A7" s="17" t="inlineStr">
        <is>
          <t>Laptop</t>
        </is>
      </c>
      <c r="B7" s="18" t="n">
        <v>8100000</v>
      </c>
    </row>
    <row r="8">
      <c r="A8" s="17" t="inlineStr">
        <is>
          <t>Monitor</t>
        </is>
      </c>
      <c r="B8" s="18" t="n">
        <v>3450000</v>
      </c>
    </row>
    <row r="9">
      <c r="A9" s="17" t="inlineStr">
        <is>
          <t>Mouse</t>
        </is>
      </c>
      <c r="B9" s="18" t="n">
        <v>648000</v>
      </c>
    </row>
    <row r="10">
      <c r="A10" s="17" t="inlineStr">
        <is>
          <t>Printer</t>
        </is>
      </c>
      <c r="B10" s="18" t="n">
        <v>2295000</v>
      </c>
    </row>
    <row r="11">
      <c r="A11" s="17" t="inlineStr">
        <is>
          <t>Router</t>
        </is>
      </c>
      <c r="B11" s="18" t="n">
        <v>1820000</v>
      </c>
    </row>
    <row r="12">
      <c r="A12" s="17" t="inlineStr">
        <is>
          <t>Smartphone</t>
        </is>
      </c>
      <c r="B12" s="18" t="n">
        <v>7840000</v>
      </c>
    </row>
    <row r="13">
      <c r="A13" s="17" t="inlineStr">
        <is>
          <t>Tablet</t>
        </is>
      </c>
      <c r="B13" s="18" t="n">
        <v>3960000</v>
      </c>
    </row>
    <row r="14">
      <c r="A14" s="19" t="inlineStr">
        <is>
          <t>Grand Total</t>
        </is>
      </c>
      <c r="B14" s="20" t="n">
        <v>33126000</v>
      </c>
    </row>
    <row r="15">
      <c r="A15" s="17" t="n"/>
      <c r="B15" s="17" t="n"/>
    </row>
    <row r="16">
      <c r="A16" s="17" t="n"/>
      <c r="B16" s="17" t="n"/>
    </row>
    <row r="17">
      <c r="A17" s="17" t="n"/>
      <c r="B17" s="17" t="n"/>
    </row>
    <row r="18">
      <c r="A18" s="17" t="n"/>
      <c r="B18" s="17" t="n"/>
    </row>
    <row r="19">
      <c r="A19" s="17" t="n"/>
      <c r="B19" s="17" t="n"/>
    </row>
    <row r="20">
      <c r="A20" s="17" t="n"/>
      <c r="B20" s="17" t="n"/>
    </row>
    <row r="21">
      <c r="A21" s="17" t="n"/>
      <c r="B21" s="17" t="n"/>
    </row>
    <row r="22">
      <c r="A22" s="17" t="n"/>
      <c r="B22" s="17" t="n"/>
    </row>
    <row r="23">
      <c r="A23" s="17" t="n"/>
      <c r="B23" s="17" t="n"/>
    </row>
    <row r="24">
      <c r="A24" s="17" t="n"/>
      <c r="B24" s="17" t="n"/>
    </row>
    <row r="25">
      <c r="A25" s="17" t="n"/>
      <c r="B25" s="17" t="n"/>
    </row>
    <row r="26">
      <c r="A26" s="17" t="n"/>
      <c r="B26" s="17" t="n"/>
    </row>
    <row r="27">
      <c r="A27" s="17" t="n"/>
      <c r="B27" s="17" t="n"/>
    </row>
    <row r="28">
      <c r="A28" s="17" t="n"/>
      <c r="B28" s="17" t="n"/>
    </row>
    <row r="29">
      <c r="A29" s="17" t="n"/>
      <c r="B29" s="17" t="n"/>
    </row>
    <row r="30">
      <c r="A30" s="17" t="n"/>
      <c r="B30" s="17" t="n"/>
    </row>
    <row r="31">
      <c r="A31" s="17" t="n"/>
      <c r="B31" s="17" t="n"/>
    </row>
    <row r="32">
      <c r="A32" s="17" t="n"/>
      <c r="B32" s="17" t="n"/>
    </row>
    <row r="33">
      <c r="A33" s="17" t="n"/>
      <c r="B33" s="17" t="n"/>
    </row>
    <row r="34">
      <c r="A34" s="17" t="n"/>
      <c r="B34" s="17" t="n"/>
    </row>
    <row r="35">
      <c r="A35" s="17" t="n"/>
      <c r="B35" s="17" t="n"/>
    </row>
    <row r="36">
      <c r="A36" s="17" t="n"/>
      <c r="B36" s="17" t="n"/>
    </row>
    <row r="37">
      <c r="A37" s="17" t="n"/>
      <c r="B37" s="17" t="n"/>
    </row>
    <row r="38">
      <c r="A38" s="17" t="n"/>
      <c r="B38" s="17" t="n"/>
    </row>
    <row r="39">
      <c r="A39" s="17" t="n"/>
      <c r="B39" s="17" t="n"/>
    </row>
    <row r="40">
      <c r="A40" s="17" t="n"/>
      <c r="B40" s="17" t="n"/>
    </row>
    <row r="41">
      <c r="A41" s="17" t="n"/>
      <c r="B41" s="17" t="n"/>
    </row>
    <row r="42">
      <c r="A42" s="17" t="n"/>
      <c r="B42" s="17" t="n"/>
    </row>
    <row r="43">
      <c r="A43" s="17" t="n"/>
      <c r="B43" s="17" t="n"/>
    </row>
    <row r="44">
      <c r="A44" s="17" t="n"/>
      <c r="B44" s="17" t="n"/>
    </row>
    <row r="45">
      <c r="A45" s="17" t="n"/>
      <c r="B45" s="17" t="n"/>
    </row>
    <row r="46">
      <c r="A46" s="17" t="n"/>
      <c r="B46" s="17" t="n"/>
    </row>
    <row r="47">
      <c r="A47" s="17" t="n"/>
      <c r="B47" s="17" t="n"/>
    </row>
    <row r="48">
      <c r="A48" s="17" t="n"/>
      <c r="B48" s="17" t="n"/>
    </row>
    <row r="49">
      <c r="A49" s="17" t="n"/>
      <c r="B49" s="17" t="n"/>
    </row>
    <row r="50">
      <c r="A50" s="17" t="n"/>
      <c r="B50" s="17" t="n"/>
    </row>
    <row r="51">
      <c r="A51" s="17" t="n"/>
      <c r="B51" s="17" t="n"/>
    </row>
    <row r="52">
      <c r="A52" s="17" t="n"/>
      <c r="B52" s="17" t="n"/>
    </row>
    <row r="53">
      <c r="A53" s="17" t="n"/>
      <c r="B53" s="17" t="n"/>
    </row>
    <row r="54">
      <c r="A54" s="17" t="n"/>
      <c r="B54" s="17" t="n"/>
    </row>
    <row r="55">
      <c r="A55" s="17" t="n"/>
      <c r="B55" s="17" t="n"/>
    </row>
    <row r="56">
      <c r="A56" s="17" t="n"/>
      <c r="B56" s="17" t="n"/>
    </row>
    <row r="57">
      <c r="A57" s="17" t="n"/>
      <c r="B57" s="17" t="n"/>
    </row>
    <row r="58">
      <c r="A58" s="17" t="n"/>
      <c r="B58" s="17" t="n"/>
    </row>
    <row r="59">
      <c r="A59" s="17" t="n"/>
      <c r="B59" s="17" t="n"/>
    </row>
    <row r="60">
      <c r="A60" s="17" t="n"/>
      <c r="B60" s="17" t="n"/>
    </row>
    <row r="61">
      <c r="A61" s="17" t="n"/>
      <c r="B61" s="17" t="n"/>
    </row>
    <row r="62">
      <c r="A62" s="17" t="n"/>
      <c r="B62" s="17" t="n"/>
    </row>
    <row r="63">
      <c r="A63" s="17" t="n"/>
      <c r="B63" s="17" t="n"/>
    </row>
    <row r="64">
      <c r="A64" s="17" t="n"/>
      <c r="B64" s="17" t="n"/>
    </row>
    <row r="65">
      <c r="A65" s="17" t="n"/>
      <c r="B65" s="17" t="n"/>
    </row>
    <row r="66">
      <c r="A66" s="17" t="n"/>
      <c r="B66" s="17" t="n"/>
    </row>
    <row r="67">
      <c r="A67" s="17" t="n"/>
      <c r="B67" s="17" t="n"/>
    </row>
    <row r="68">
      <c r="A68" s="17" t="n"/>
      <c r="B68" s="17" t="n"/>
    </row>
    <row r="69">
      <c r="A69" s="17" t="n"/>
      <c r="B69" s="17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3" topLeftCell="A4" activePane="bottomLeft" state="frozen"/>
      <selection pane="bottomLeft" activeCell="G24" sqref="G24"/>
    </sheetView>
  </sheetViews>
  <sheetFormatPr baseColWidth="8" defaultRowHeight="14.5"/>
  <cols>
    <col width="27" bestFit="1" customWidth="1" style="5" min="1" max="1"/>
    <col width="20" bestFit="1" customWidth="1" style="5" min="2" max="2"/>
  </cols>
  <sheetData>
    <row r="1">
      <c r="A1" s="14" t="inlineStr">
        <is>
          <t>Profit by Region</t>
        </is>
      </c>
    </row>
    <row r="3">
      <c r="A3" s="15" t="inlineStr">
        <is>
          <t>Row Labels</t>
        </is>
      </c>
      <c r="B3" s="21" t="inlineStr">
        <is>
          <t>Sum of Profit</t>
        </is>
      </c>
    </row>
    <row r="4">
      <c r="A4" s="17" t="inlineStr">
        <is>
          <t>Abuja</t>
        </is>
      </c>
      <c r="B4" s="18" t="n">
        <v>3694500</v>
      </c>
    </row>
    <row r="5">
      <c r="A5" s="17" t="inlineStr">
        <is>
          <t>Ibadan</t>
        </is>
      </c>
      <c r="B5" s="18" t="n">
        <v>1005000</v>
      </c>
    </row>
    <row r="6">
      <c r="A6" s="17" t="inlineStr">
        <is>
          <t>Kano</t>
        </is>
      </c>
      <c r="B6" s="18" t="n">
        <v>1326000</v>
      </c>
    </row>
    <row r="7">
      <c r="A7" s="17" t="inlineStr">
        <is>
          <t>Lagos</t>
        </is>
      </c>
      <c r="B7" s="18" t="n">
        <v>2744000</v>
      </c>
    </row>
    <row r="8">
      <c r="A8" s="17" t="inlineStr">
        <is>
          <t>Port Harcourt</t>
        </is>
      </c>
      <c r="B8" s="18" t="n">
        <v>1462500</v>
      </c>
    </row>
    <row r="9">
      <c r="A9" s="19" t="inlineStr">
        <is>
          <t>Grand Total</t>
        </is>
      </c>
      <c r="B9" s="20" t="n">
        <v>10232000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3" topLeftCell="A4" activePane="bottomLeft" state="frozen"/>
      <selection pane="bottomLeft" activeCell="A3" sqref="A3"/>
    </sheetView>
  </sheetViews>
  <sheetFormatPr baseColWidth="8" defaultRowHeight="14.5"/>
  <cols>
    <col width="27" bestFit="1" customWidth="1" style="5" min="1" max="1"/>
    <col width="20" bestFit="1" customWidth="1" style="5" min="2" max="2"/>
  </cols>
  <sheetData>
    <row r="1">
      <c r="A1" s="14" t="inlineStr">
        <is>
          <t>Revenue by Sales Channel</t>
        </is>
      </c>
    </row>
    <row r="3">
      <c r="A3" s="15" t="inlineStr">
        <is>
          <t>Row Labels</t>
        </is>
      </c>
      <c r="B3" s="21" t="inlineStr">
        <is>
          <t>Sum of Revenue</t>
        </is>
      </c>
    </row>
    <row r="4">
      <c r="A4" s="17" t="inlineStr">
        <is>
          <t>Corporate</t>
        </is>
      </c>
      <c r="B4" s="18" t="n">
        <v>14596000</v>
      </c>
    </row>
    <row r="5">
      <c r="A5" s="17" t="inlineStr">
        <is>
          <t>In-store</t>
        </is>
      </c>
      <c r="B5" s="18" t="n">
        <v>7437000</v>
      </c>
    </row>
    <row r="6">
      <c r="A6" s="17" t="inlineStr">
        <is>
          <t>Online</t>
        </is>
      </c>
      <c r="B6" s="18" t="n">
        <v>11093000</v>
      </c>
    </row>
    <row r="7">
      <c r="A7" s="19" t="inlineStr">
        <is>
          <t>Grand Total</t>
        </is>
      </c>
      <c r="B7" s="20" t="n">
        <v>33126000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3" topLeftCell="A4" activePane="bottomLeft" state="frozen"/>
      <selection pane="bottomLeft" activeCell="A3" sqref="A3"/>
    </sheetView>
  </sheetViews>
  <sheetFormatPr baseColWidth="8" defaultRowHeight="14.5"/>
  <cols>
    <col width="27" bestFit="1" customWidth="1" style="5" min="1" max="1"/>
    <col width="20" bestFit="1" customWidth="1" style="5" min="2" max="2"/>
  </cols>
  <sheetData>
    <row r="1">
      <c r="A1" s="14" t="inlineStr">
        <is>
          <t>Revenue by Sales Representative</t>
        </is>
      </c>
    </row>
    <row r="3">
      <c r="A3" s="15" t="inlineStr">
        <is>
          <t>Row Labels</t>
        </is>
      </c>
      <c r="B3" s="21" t="inlineStr">
        <is>
          <t>Sum of Revenue</t>
        </is>
      </c>
    </row>
    <row r="4">
      <c r="A4" s="17" t="inlineStr">
        <is>
          <t>Ada</t>
        </is>
      </c>
      <c r="B4" s="18" t="n">
        <v>6493000</v>
      </c>
    </row>
    <row r="5">
      <c r="A5" s="17" t="inlineStr">
        <is>
          <t>Bola</t>
        </is>
      </c>
      <c r="B5" s="18" t="n">
        <v>4294000</v>
      </c>
    </row>
    <row r="6">
      <c r="A6" s="17" t="inlineStr">
        <is>
          <t>Chika</t>
        </is>
      </c>
      <c r="B6" s="18" t="n">
        <v>4384000</v>
      </c>
    </row>
    <row r="7">
      <c r="A7" s="17" t="inlineStr">
        <is>
          <t>Emeka</t>
        </is>
      </c>
      <c r="B7" s="18" t="n">
        <v>5205000</v>
      </c>
    </row>
    <row r="8">
      <c r="A8" s="17" t="inlineStr">
        <is>
          <t>Fatima</t>
        </is>
      </c>
      <c r="B8" s="18" t="n">
        <v>3474000</v>
      </c>
    </row>
    <row r="9">
      <c r="A9" s="17" t="inlineStr">
        <is>
          <t>Ibrahim</t>
        </is>
      </c>
      <c r="B9" s="18" t="n">
        <v>4389000</v>
      </c>
    </row>
    <row r="10">
      <c r="A10" s="17" t="inlineStr">
        <is>
          <t>Tunde</t>
        </is>
      </c>
      <c r="B10" s="18" t="n">
        <v>4887000</v>
      </c>
    </row>
    <row r="11">
      <c r="A11" s="19" t="inlineStr">
        <is>
          <t>Grand Total</t>
        </is>
      </c>
      <c r="B11" s="20" t="n">
        <v>33126000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6"/>
  <sheetViews>
    <sheetView tabSelected="1" topLeftCell="A41" workbookViewId="0">
      <pane ySplit="4" topLeftCell="A5" activePane="bottomLeft" state="frozen"/>
      <selection pane="bottomLeft" activeCell="L46" sqref="L46"/>
    </sheetView>
  </sheetViews>
  <sheetFormatPr baseColWidth="8" defaultRowHeight="14.5"/>
  <cols>
    <col width="16" customWidth="1" style="13" min="1" max="1"/>
    <col width="14" customWidth="1" style="5" min="2" max="2"/>
    <col width="16" customWidth="1" style="12" min="3" max="3"/>
    <col width="4" customWidth="1" style="5" min="4" max="4"/>
    <col width="16" customWidth="1" style="11" min="5" max="5"/>
    <col width="4" customWidth="1" style="5" min="6" max="6"/>
    <col width="16" customWidth="1" style="5" min="7" max="7"/>
    <col width="14" customWidth="1" style="5" min="8" max="8"/>
    <col width="4" customWidth="1" style="5" min="9" max="9"/>
    <col width="4" customWidth="1" style="5" min="10" max="10"/>
    <col width="4" customWidth="1" style="5" min="11" max="11"/>
    <col width="4" customWidth="1" style="5" min="12" max="12"/>
  </cols>
  <sheetData>
    <row r="1" ht="21" customHeight="1" s="5">
      <c r="A1" s="9" t="inlineStr">
        <is>
          <t>SEPTEMBER 2026 SALES PERFORMANCE REPORT</t>
        </is>
      </c>
    </row>
    <row r="3" ht="26" customHeight="1" s="5">
      <c r="A3" s="22" t="inlineStr">
        <is>
          <t>TOTAL REVENUE</t>
        </is>
      </c>
      <c r="C3" s="23" t="inlineStr">
        <is>
          <t>TOTAL PROFIT</t>
        </is>
      </c>
      <c r="E3" s="24" t="inlineStr">
        <is>
          <t>PROFIT MARGIN</t>
        </is>
      </c>
      <c r="G3" s="25" t="inlineStr">
        <is>
          <t>TRANSACTIONS</t>
        </is>
      </c>
    </row>
    <row r="4" ht="34" customHeight="1" s="5">
      <c r="A4" s="26" t="n">
        <v>33126000</v>
      </c>
      <c r="C4" s="27" t="n">
        <v>10232000</v>
      </c>
      <c r="E4" s="28" t="n">
        <v>0.3088812413210167</v>
      </c>
      <c r="G4" s="29" t="n">
        <v>100</v>
      </c>
    </row>
    <row r="46">
      <c r="L46" t="inlineStr">
        <is>
          <t>g</t>
        </is>
      </c>
    </row>
  </sheetData>
  <mergeCells count="1">
    <mergeCell ref="A1:H1"/>
  </mergeCells>
  <pageMargins left="0.7" right="0.7" top="0.75" bottom="0.75" header="0.3" footer="0.3"/>
  <drawing xmlns:r="http://schemas.openxmlformats.org/officeDocument/2006/relationships" r:id="rId1"/>
  <tableParts count="4"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02"/>
  <sheetViews>
    <sheetView topLeftCell="I85" workbookViewId="0">
      <selection activeCell="N102" sqref="N102"/>
    </sheetView>
  </sheetViews>
  <sheetFormatPr baseColWidth="8" defaultRowHeight="14.5"/>
  <cols>
    <col width="10.26953125" customWidth="1" style="5" min="1" max="1"/>
    <col width="12.1796875" customWidth="1" style="5" min="2" max="2"/>
    <col width="13.08984375" customWidth="1" style="5" min="3" max="3"/>
    <col width="21.36328125" customWidth="1" style="5" min="4" max="4"/>
    <col width="14.1796875" customWidth="1" style="5" min="5" max="5"/>
    <col width="18.36328125" customWidth="1" style="5" min="6" max="6"/>
    <col width="14.90625" customWidth="1" style="5" min="7" max="7"/>
    <col width="10.1796875" customWidth="1" style="5" min="8" max="8"/>
    <col width="15.453125" bestFit="1" customWidth="1" style="12" min="9" max="10"/>
    <col width="21.08984375" customWidth="1" style="5" min="11" max="11"/>
    <col width="19.54296875" customWidth="1" style="5" min="12" max="12"/>
    <col width="21" customWidth="1" style="5" min="13" max="13"/>
    <col width="13.90625" customWidth="1" style="5" min="14" max="14"/>
  </cols>
  <sheetData>
    <row r="1" customFormat="1" s="3">
      <c r="A1" s="3" t="inlineStr">
        <is>
          <t>Order ID</t>
        </is>
      </c>
      <c r="B1" s="3" t="inlineStr">
        <is>
          <t>Order Date</t>
        </is>
      </c>
      <c r="C1" s="3" t="inlineStr">
        <is>
          <t>Product</t>
        </is>
      </c>
      <c r="D1" s="3" t="inlineStr">
        <is>
          <t>Category</t>
        </is>
      </c>
      <c r="E1" s="3" t="inlineStr">
        <is>
          <t>Region</t>
        </is>
      </c>
      <c r="F1" s="3" t="inlineStr">
        <is>
          <t>Sales Channel</t>
        </is>
      </c>
      <c r="G1" s="3" t="inlineStr">
        <is>
          <t>Sales Rep</t>
        </is>
      </c>
      <c r="H1" s="3" t="inlineStr">
        <is>
          <t>Quantity</t>
        </is>
      </c>
      <c r="I1" s="30" t="inlineStr">
        <is>
          <t>Unit Price</t>
        </is>
      </c>
      <c r="J1" s="30" t="inlineStr">
        <is>
          <t>Unit Cost</t>
        </is>
      </c>
      <c r="K1" s="3" t="inlineStr">
        <is>
          <t>Revenue</t>
        </is>
      </c>
      <c r="L1" s="3" t="inlineStr">
        <is>
          <t>Total Cost</t>
        </is>
      </c>
      <c r="M1" s="3" t="inlineStr">
        <is>
          <t>Profit</t>
        </is>
      </c>
      <c r="N1" s="3" t="inlineStr">
        <is>
          <t>Profit Margin</t>
        </is>
      </c>
    </row>
    <row r="2">
      <c r="A2" t="inlineStr">
        <is>
          <t>SEP-001</t>
        </is>
      </c>
      <c r="B2" s="1" t="n">
        <v>46266</v>
      </c>
      <c r="C2" t="inlineStr">
        <is>
          <t>Laptop</t>
        </is>
      </c>
      <c r="D2" t="inlineStr">
        <is>
          <t>Computers</t>
        </is>
      </c>
      <c r="E2" t="inlineStr">
        <is>
          <t>Abuja</t>
        </is>
      </c>
      <c r="F2" t="inlineStr">
        <is>
          <t>Corporate</t>
        </is>
      </c>
      <c r="G2" t="inlineStr">
        <is>
          <t>Ada</t>
        </is>
      </c>
      <c r="H2" t="n">
        <v>2</v>
      </c>
      <c r="I2" s="12" t="n">
        <v>450000</v>
      </c>
      <c r="J2" s="12" t="n">
        <v>320000</v>
      </c>
      <c r="K2" s="12">
        <f>H2*I2</f>
        <v/>
      </c>
      <c r="L2" s="12">
        <f>H2*J2</f>
        <v/>
      </c>
      <c r="M2" s="12">
        <f>K2-L2</f>
        <v/>
      </c>
      <c r="N2">
        <f>IFERROR(M2/K2,0)</f>
        <v/>
      </c>
    </row>
    <row r="3">
      <c r="A3" t="inlineStr">
        <is>
          <t>SEP-002</t>
        </is>
      </c>
      <c r="B3" s="1" t="n">
        <v>46266</v>
      </c>
      <c r="C3" t="inlineStr">
        <is>
          <t>Smartphone</t>
        </is>
      </c>
      <c r="D3" t="inlineStr">
        <is>
          <t>Phones</t>
        </is>
      </c>
      <c r="E3" t="inlineStr">
        <is>
          <t>Lagos</t>
        </is>
      </c>
      <c r="F3" t="inlineStr">
        <is>
          <t>Online</t>
        </is>
      </c>
      <c r="G3" t="inlineStr">
        <is>
          <t>Bola</t>
        </is>
      </c>
      <c r="H3" t="n">
        <v>3</v>
      </c>
      <c r="I3" s="12" t="n">
        <v>280000</v>
      </c>
      <c r="J3" s="12" t="n">
        <v>205000</v>
      </c>
      <c r="K3" s="12">
        <f>H3*I3</f>
        <v/>
      </c>
      <c r="L3" s="12">
        <f>H3*J3</f>
        <v/>
      </c>
      <c r="M3" s="12">
        <f>K3-L3</f>
        <v/>
      </c>
      <c r="N3">
        <f>IFERROR(M3/K3,0)</f>
        <v/>
      </c>
    </row>
    <row r="4">
      <c r="A4" t="inlineStr">
        <is>
          <t>SEP-003</t>
        </is>
      </c>
      <c r="B4" s="1" t="n">
        <v>46266</v>
      </c>
      <c r="C4" t="inlineStr">
        <is>
          <t>Keyboard</t>
        </is>
      </c>
      <c r="D4" t="inlineStr">
        <is>
          <t>Accessories</t>
        </is>
      </c>
      <c r="E4" t="inlineStr">
        <is>
          <t>Abuja</t>
        </is>
      </c>
      <c r="F4" t="inlineStr">
        <is>
          <t>In-store</t>
        </is>
      </c>
      <c r="G4" t="inlineStr">
        <is>
          <t>Chika</t>
        </is>
      </c>
      <c r="H4" t="n">
        <v>5</v>
      </c>
      <c r="I4" s="12" t="n">
        <v>25000</v>
      </c>
      <c r="J4" s="12" t="n">
        <v>14000</v>
      </c>
      <c r="K4" s="12">
        <f>H4*I4</f>
        <v/>
      </c>
      <c r="L4" s="12">
        <f>H4*J4</f>
        <v/>
      </c>
      <c r="M4" s="12">
        <f>K4-L4</f>
        <v/>
      </c>
      <c r="N4">
        <f>IFERROR(M4/K4,0)</f>
        <v/>
      </c>
    </row>
    <row r="5">
      <c r="A5" t="inlineStr">
        <is>
          <t>SEP-004</t>
        </is>
      </c>
      <c r="B5" s="1" t="n">
        <v>46267</v>
      </c>
      <c r="C5" t="inlineStr">
        <is>
          <t>Monitor</t>
        </is>
      </c>
      <c r="D5" t="inlineStr">
        <is>
          <t>Accessories</t>
        </is>
      </c>
      <c r="E5" t="inlineStr">
        <is>
          <t>Kano</t>
        </is>
      </c>
      <c r="F5" t="inlineStr">
        <is>
          <t>Corporate</t>
        </is>
      </c>
      <c r="G5" t="inlineStr">
        <is>
          <t>Emeka</t>
        </is>
      </c>
      <c r="H5" t="n">
        <v>2</v>
      </c>
      <c r="I5" s="12" t="n">
        <v>150000</v>
      </c>
      <c r="J5" s="12" t="n">
        <v>105000</v>
      </c>
      <c r="K5" s="12">
        <f>H5*I5</f>
        <v/>
      </c>
      <c r="L5" s="12">
        <f>H5*J5</f>
        <v/>
      </c>
      <c r="M5" s="12">
        <f>K5-L5</f>
        <v/>
      </c>
      <c r="N5">
        <f>IFERROR(M5/K5,0)</f>
        <v/>
      </c>
    </row>
    <row r="6">
      <c r="A6" t="inlineStr">
        <is>
          <t>SEP-005</t>
        </is>
      </c>
      <c r="B6" s="1" t="n">
        <v>46267</v>
      </c>
      <c r="C6" t="inlineStr">
        <is>
          <t>Mouse</t>
        </is>
      </c>
      <c r="D6" t="inlineStr">
        <is>
          <t>Accessories</t>
        </is>
      </c>
      <c r="E6" t="inlineStr">
        <is>
          <t>Ibadan</t>
        </is>
      </c>
      <c r="F6" t="inlineStr">
        <is>
          <t>Online</t>
        </is>
      </c>
      <c r="G6" t="inlineStr">
        <is>
          <t>Fatima</t>
        </is>
      </c>
      <c r="H6" t="n">
        <v>4</v>
      </c>
      <c r="I6" s="12" t="n">
        <v>12000</v>
      </c>
      <c r="J6" s="12" t="n">
        <v>6500</v>
      </c>
      <c r="K6" s="12">
        <f>H6*I6</f>
        <v/>
      </c>
      <c r="L6" s="12">
        <f>H6*J6</f>
        <v/>
      </c>
      <c r="M6" s="12">
        <f>K6-L6</f>
        <v/>
      </c>
      <c r="N6">
        <f>IFERROR(M6/K6,0)</f>
        <v/>
      </c>
    </row>
    <row r="7">
      <c r="A7" t="inlineStr">
        <is>
          <t>SEP-006</t>
        </is>
      </c>
      <c r="B7" s="1" t="n">
        <v>46267</v>
      </c>
      <c r="C7" t="inlineStr">
        <is>
          <t>Tablet</t>
        </is>
      </c>
      <c r="D7" t="inlineStr">
        <is>
          <t>Computers</t>
        </is>
      </c>
      <c r="E7" t="inlineStr">
        <is>
          <t>Lagos</t>
        </is>
      </c>
      <c r="F7" t="inlineStr">
        <is>
          <t>In-store</t>
        </is>
      </c>
      <c r="G7" t="inlineStr">
        <is>
          <t>Ibrahim</t>
        </is>
      </c>
      <c r="H7" t="n">
        <v>2</v>
      </c>
      <c r="I7" s="12" t="n">
        <v>180000</v>
      </c>
      <c r="J7" s="12" t="n">
        <v>125000</v>
      </c>
      <c r="K7" s="12">
        <f>H7*I7</f>
        <v/>
      </c>
      <c r="L7" s="12">
        <f>H7*J7</f>
        <v/>
      </c>
      <c r="M7" s="12">
        <f>K7-L7</f>
        <v/>
      </c>
      <c r="N7">
        <f>IFERROR(M7/K7,0)</f>
        <v/>
      </c>
    </row>
    <row r="8">
      <c r="A8" t="inlineStr">
        <is>
          <t>SEP-007</t>
        </is>
      </c>
      <c r="B8" s="1" t="n">
        <v>46268</v>
      </c>
      <c r="C8" t="inlineStr">
        <is>
          <t>Router</t>
        </is>
      </c>
      <c r="D8" t="inlineStr">
        <is>
          <t>Networking</t>
        </is>
      </c>
      <c r="E8" t="inlineStr">
        <is>
          <t>Abuja</t>
        </is>
      </c>
      <c r="F8" t="inlineStr">
        <is>
          <t>Online</t>
        </is>
      </c>
      <c r="G8" t="inlineStr">
        <is>
          <t>Tunde</t>
        </is>
      </c>
      <c r="H8" t="n">
        <v>3</v>
      </c>
      <c r="I8" s="12" t="n">
        <v>65000</v>
      </c>
      <c r="J8" s="12" t="n">
        <v>42000</v>
      </c>
      <c r="K8" s="12">
        <f>H8*I8</f>
        <v/>
      </c>
      <c r="L8" s="12">
        <f>H8*J8</f>
        <v/>
      </c>
      <c r="M8" s="12">
        <f>K8-L8</f>
        <v/>
      </c>
      <c r="N8">
        <f>IFERROR(M8/K8,0)</f>
        <v/>
      </c>
    </row>
    <row r="9">
      <c r="A9" t="inlineStr">
        <is>
          <t>SEP-008</t>
        </is>
      </c>
      <c r="B9" s="1" t="n">
        <v>46268</v>
      </c>
      <c r="C9" t="inlineStr">
        <is>
          <t>Printer</t>
        </is>
      </c>
      <c r="D9" t="inlineStr">
        <is>
          <t>Office Equipment</t>
        </is>
      </c>
      <c r="E9" t="inlineStr">
        <is>
          <t>Port Harcourt</t>
        </is>
      </c>
      <c r="F9" t="inlineStr">
        <is>
          <t>Corporate</t>
        </is>
      </c>
      <c r="G9" t="inlineStr">
        <is>
          <t>Ada</t>
        </is>
      </c>
      <c r="H9" t="n">
        <v>1</v>
      </c>
      <c r="I9" s="12" t="n">
        <v>135000</v>
      </c>
      <c r="J9" s="12" t="n">
        <v>95000</v>
      </c>
      <c r="K9" s="12">
        <f>H9*I9</f>
        <v/>
      </c>
      <c r="L9" s="12">
        <f>H9*J9</f>
        <v/>
      </c>
      <c r="M9" s="12">
        <f>K9-L9</f>
        <v/>
      </c>
      <c r="N9">
        <f>IFERROR(M9/K9,0)</f>
        <v/>
      </c>
    </row>
    <row r="10">
      <c r="A10" t="inlineStr">
        <is>
          <t>SEP-009</t>
        </is>
      </c>
      <c r="B10" s="1" t="n">
        <v>46268</v>
      </c>
      <c r="C10" t="inlineStr">
        <is>
          <t>External SSD</t>
        </is>
      </c>
      <c r="D10" t="inlineStr">
        <is>
          <t>Storage</t>
        </is>
      </c>
      <c r="E10" t="inlineStr">
        <is>
          <t>Lagos</t>
        </is>
      </c>
      <c r="F10" t="inlineStr">
        <is>
          <t>Online</t>
        </is>
      </c>
      <c r="G10" t="inlineStr">
        <is>
          <t>Bola</t>
        </is>
      </c>
      <c r="H10" t="n">
        <v>4</v>
      </c>
      <c r="I10" s="12" t="n">
        <v>85000</v>
      </c>
      <c r="J10" s="12" t="n">
        <v>57000</v>
      </c>
      <c r="K10" s="12">
        <f>H10*I10</f>
        <v/>
      </c>
      <c r="L10" s="12">
        <f>H10*J10</f>
        <v/>
      </c>
      <c r="M10" s="12">
        <f>K10-L10</f>
        <v/>
      </c>
      <c r="N10">
        <f>IFERROR(M10/K10,0)</f>
        <v/>
      </c>
    </row>
    <row r="11">
      <c r="A11" t="inlineStr">
        <is>
          <t>SEP-010</t>
        </is>
      </c>
      <c r="B11" s="1" t="n">
        <v>46268</v>
      </c>
      <c r="C11" t="inlineStr">
        <is>
          <t>Headphones</t>
        </is>
      </c>
      <c r="D11" t="inlineStr">
        <is>
          <t>Accessories</t>
        </is>
      </c>
      <c r="E11" t="inlineStr">
        <is>
          <t>Kano</t>
        </is>
      </c>
      <c r="F11" t="inlineStr">
        <is>
          <t>In-store</t>
        </is>
      </c>
      <c r="G11" t="inlineStr">
        <is>
          <t>Chika</t>
        </is>
      </c>
      <c r="H11" t="n">
        <v>6</v>
      </c>
      <c r="I11" s="12" t="n">
        <v>38000</v>
      </c>
      <c r="J11" s="12" t="n">
        <v>22000</v>
      </c>
      <c r="K11" s="12">
        <f>H11*I11</f>
        <v/>
      </c>
      <c r="L11" s="12">
        <f>H11*J11</f>
        <v/>
      </c>
      <c r="M11" s="12">
        <f>K11-L11</f>
        <v/>
      </c>
      <c r="N11">
        <f>IFERROR(M11/K11,0)</f>
        <v/>
      </c>
    </row>
    <row r="12">
      <c r="A12" t="inlineStr">
        <is>
          <t>SEP-011</t>
        </is>
      </c>
      <c r="B12" s="1" t="n">
        <v>46269</v>
      </c>
      <c r="C12" t="inlineStr">
        <is>
          <t>Laptop</t>
        </is>
      </c>
      <c r="D12" t="inlineStr">
        <is>
          <t>Computers</t>
        </is>
      </c>
      <c r="E12" t="inlineStr">
        <is>
          <t>Lagos</t>
        </is>
      </c>
      <c r="F12" t="inlineStr">
        <is>
          <t>Corporate</t>
        </is>
      </c>
      <c r="G12" t="inlineStr">
        <is>
          <t>Emeka</t>
        </is>
      </c>
      <c r="H12" t="n">
        <v>1</v>
      </c>
      <c r="I12" s="12" t="n">
        <v>450000</v>
      </c>
      <c r="J12" s="12" t="n">
        <v>320000</v>
      </c>
      <c r="K12" s="12">
        <f>H12*I12</f>
        <v/>
      </c>
      <c r="L12" s="12">
        <f>H12*J12</f>
        <v/>
      </c>
      <c r="M12" s="12">
        <f>K12-L12</f>
        <v/>
      </c>
      <c r="N12">
        <f>IFERROR(M12/K12,0)</f>
        <v/>
      </c>
    </row>
    <row r="13">
      <c r="A13" t="inlineStr">
        <is>
          <t>SEP-012</t>
        </is>
      </c>
      <c r="B13" s="1" t="n">
        <v>46269</v>
      </c>
      <c r="C13" t="inlineStr">
        <is>
          <t>Smartphone</t>
        </is>
      </c>
      <c r="D13" t="inlineStr">
        <is>
          <t>Phones</t>
        </is>
      </c>
      <c r="E13" t="inlineStr">
        <is>
          <t>Abuja</t>
        </is>
      </c>
      <c r="F13" t="inlineStr">
        <is>
          <t>Online</t>
        </is>
      </c>
      <c r="G13" t="inlineStr">
        <is>
          <t>Fatima</t>
        </is>
      </c>
      <c r="H13" t="n">
        <v>2</v>
      </c>
      <c r="I13" s="12" t="n">
        <v>280000</v>
      </c>
      <c r="J13" s="12" t="n">
        <v>205000</v>
      </c>
      <c r="K13" s="12">
        <f>H13*I13</f>
        <v/>
      </c>
      <c r="L13" s="12">
        <f>H13*J13</f>
        <v/>
      </c>
      <c r="M13" s="12">
        <f>K13-L13</f>
        <v/>
      </c>
      <c r="N13">
        <f>IFERROR(M13/K13,0)</f>
        <v/>
      </c>
    </row>
    <row r="14">
      <c r="A14" t="inlineStr">
        <is>
          <t>SEP-013</t>
        </is>
      </c>
      <c r="B14" s="1" t="n">
        <v>46269</v>
      </c>
      <c r="C14" t="inlineStr">
        <is>
          <t>Monitor</t>
        </is>
      </c>
      <c r="D14" t="inlineStr">
        <is>
          <t>Accessories</t>
        </is>
      </c>
      <c r="E14" t="inlineStr">
        <is>
          <t>Ibadan</t>
        </is>
      </c>
      <c r="F14" t="inlineStr">
        <is>
          <t>In-store</t>
        </is>
      </c>
      <c r="G14" t="inlineStr">
        <is>
          <t>Ibrahim</t>
        </is>
      </c>
      <c r="H14" t="n">
        <v>3</v>
      </c>
      <c r="I14" s="12" t="n">
        <v>150000</v>
      </c>
      <c r="J14" s="12" t="n">
        <v>105000</v>
      </c>
      <c r="K14" s="12">
        <f>H14*I14</f>
        <v/>
      </c>
      <c r="L14" s="12">
        <f>H14*J14</f>
        <v/>
      </c>
      <c r="M14" s="12">
        <f>K14-L14</f>
        <v/>
      </c>
      <c r="N14">
        <f>IFERROR(M14/K14,0)</f>
        <v/>
      </c>
    </row>
    <row r="15">
      <c r="A15" t="inlineStr">
        <is>
          <t>SEP-014</t>
        </is>
      </c>
      <c r="B15" s="1" t="n">
        <v>46270</v>
      </c>
      <c r="C15" t="inlineStr">
        <is>
          <t>Keyboard</t>
        </is>
      </c>
      <c r="D15" t="inlineStr">
        <is>
          <t>Accessories</t>
        </is>
      </c>
      <c r="E15" t="inlineStr">
        <is>
          <t>Port Harcourt</t>
        </is>
      </c>
      <c r="F15" t="inlineStr">
        <is>
          <t>Online</t>
        </is>
      </c>
      <c r="G15" t="inlineStr">
        <is>
          <t>Tunde</t>
        </is>
      </c>
      <c r="H15" t="n">
        <v>8</v>
      </c>
      <c r="I15" s="12" t="n">
        <v>25000</v>
      </c>
      <c r="J15" s="12" t="n">
        <v>14000</v>
      </c>
      <c r="K15" s="12">
        <f>H15*I15</f>
        <v/>
      </c>
      <c r="L15" s="12">
        <f>H15*J15</f>
        <v/>
      </c>
      <c r="M15" s="12">
        <f>K15-L15</f>
        <v/>
      </c>
      <c r="N15">
        <f>IFERROR(M15/K15,0)</f>
        <v/>
      </c>
    </row>
    <row r="16">
      <c r="A16" t="inlineStr">
        <is>
          <t>SEP-015</t>
        </is>
      </c>
      <c r="B16" s="1" t="n">
        <v>46270</v>
      </c>
      <c r="C16" t="inlineStr">
        <is>
          <t>Tablet</t>
        </is>
      </c>
      <c r="D16" t="inlineStr">
        <is>
          <t>Computers</t>
        </is>
      </c>
      <c r="E16" t="inlineStr">
        <is>
          <t>Abuja</t>
        </is>
      </c>
      <c r="F16" t="inlineStr">
        <is>
          <t>Corporate</t>
        </is>
      </c>
      <c r="G16" t="inlineStr">
        <is>
          <t>Ada</t>
        </is>
      </c>
      <c r="H16" t="n">
        <v>3</v>
      </c>
      <c r="I16" s="12" t="n">
        <v>180000</v>
      </c>
      <c r="J16" s="12" t="n">
        <v>125000</v>
      </c>
      <c r="K16" s="12">
        <f>H16*I16</f>
        <v/>
      </c>
      <c r="L16" s="12">
        <f>H16*J16</f>
        <v/>
      </c>
      <c r="M16" s="12">
        <f>K16-L16</f>
        <v/>
      </c>
      <c r="N16">
        <f>IFERROR(M16/K16,0)</f>
        <v/>
      </c>
    </row>
    <row r="17">
      <c r="A17" t="inlineStr">
        <is>
          <t>SEP-016</t>
        </is>
      </c>
      <c r="B17" s="1" t="n">
        <v>46270</v>
      </c>
      <c r="C17" t="inlineStr">
        <is>
          <t>Mouse</t>
        </is>
      </c>
      <c r="D17" t="inlineStr">
        <is>
          <t>Accessories</t>
        </is>
      </c>
      <c r="E17" t="inlineStr">
        <is>
          <t>Lagos</t>
        </is>
      </c>
      <c r="F17" t="inlineStr">
        <is>
          <t>In-store</t>
        </is>
      </c>
      <c r="G17" t="inlineStr">
        <is>
          <t>Bola</t>
        </is>
      </c>
      <c r="H17" t="n">
        <v>5</v>
      </c>
      <c r="I17" s="12" t="n">
        <v>12000</v>
      </c>
      <c r="J17" s="12" t="n">
        <v>6500</v>
      </c>
      <c r="K17" s="12">
        <f>H17*I17</f>
        <v/>
      </c>
      <c r="L17" s="12">
        <f>H17*J17</f>
        <v/>
      </c>
      <c r="M17" s="12">
        <f>K17-L17</f>
        <v/>
      </c>
      <c r="N17">
        <f>IFERROR(M17/K17,0)</f>
        <v/>
      </c>
    </row>
    <row r="18">
      <c r="A18" t="inlineStr">
        <is>
          <t>SEP-017</t>
        </is>
      </c>
      <c r="B18" s="1" t="n">
        <v>46271</v>
      </c>
      <c r="C18" t="inlineStr">
        <is>
          <t>Printer</t>
        </is>
      </c>
      <c r="D18" t="inlineStr">
        <is>
          <t>Office Equipment</t>
        </is>
      </c>
      <c r="E18" t="inlineStr">
        <is>
          <t>Kano</t>
        </is>
      </c>
      <c r="F18" t="inlineStr">
        <is>
          <t>Corporate</t>
        </is>
      </c>
      <c r="G18" t="inlineStr">
        <is>
          <t>Chika</t>
        </is>
      </c>
      <c r="H18" t="n">
        <v>2</v>
      </c>
      <c r="I18" s="12" t="n">
        <v>135000</v>
      </c>
      <c r="J18" s="12" t="n">
        <v>95000</v>
      </c>
      <c r="K18" s="12">
        <f>H18*I18</f>
        <v/>
      </c>
      <c r="L18" s="12">
        <f>H18*J18</f>
        <v/>
      </c>
      <c r="M18" s="12">
        <f>K18-L18</f>
        <v/>
      </c>
      <c r="N18">
        <f>IFERROR(M18/K18,0)</f>
        <v/>
      </c>
    </row>
    <row r="19">
      <c r="A19" t="inlineStr">
        <is>
          <t>SEP-018</t>
        </is>
      </c>
      <c r="B19" s="1" t="n">
        <v>46271</v>
      </c>
      <c r="C19" t="inlineStr">
        <is>
          <t>Router</t>
        </is>
      </c>
      <c r="D19" t="inlineStr">
        <is>
          <t>Networking</t>
        </is>
      </c>
      <c r="E19" t="inlineStr">
        <is>
          <t>Ibadan</t>
        </is>
      </c>
      <c r="F19" t="inlineStr">
        <is>
          <t>Online</t>
        </is>
      </c>
      <c r="G19" t="inlineStr">
        <is>
          <t>Emeka</t>
        </is>
      </c>
      <c r="H19" t="n">
        <v>4</v>
      </c>
      <c r="I19" s="12" t="n">
        <v>65000</v>
      </c>
      <c r="J19" s="12" t="n">
        <v>42000</v>
      </c>
      <c r="K19" s="12">
        <f>H19*I19</f>
        <v/>
      </c>
      <c r="L19" s="12">
        <f>H19*J19</f>
        <v/>
      </c>
      <c r="M19" s="12">
        <f>K19-L19</f>
        <v/>
      </c>
      <c r="N19">
        <f>IFERROR(M19/K19,0)</f>
        <v/>
      </c>
    </row>
    <row r="20">
      <c r="A20" t="inlineStr">
        <is>
          <t>SEP-019</t>
        </is>
      </c>
      <c r="B20" s="1" t="n">
        <v>46271</v>
      </c>
      <c r="C20" t="inlineStr">
        <is>
          <t>Headphones</t>
        </is>
      </c>
      <c r="D20" t="inlineStr">
        <is>
          <t>Accessories</t>
        </is>
      </c>
      <c r="E20" t="inlineStr">
        <is>
          <t>Abuja</t>
        </is>
      </c>
      <c r="F20" t="inlineStr">
        <is>
          <t>In-store</t>
        </is>
      </c>
      <c r="G20" t="inlineStr">
        <is>
          <t>Fatima</t>
        </is>
      </c>
      <c r="H20" t="n">
        <v>3</v>
      </c>
      <c r="I20" s="12" t="n">
        <v>38000</v>
      </c>
      <c r="J20" s="12" t="n">
        <v>22000</v>
      </c>
      <c r="K20" s="12">
        <f>H20*I20</f>
        <v/>
      </c>
      <c r="L20" s="12">
        <f>H20*J20</f>
        <v/>
      </c>
      <c r="M20" s="12">
        <f>K20-L20</f>
        <v/>
      </c>
      <c r="N20">
        <f>IFERROR(M20/K20,0)</f>
        <v/>
      </c>
    </row>
    <row r="21">
      <c r="A21" t="inlineStr">
        <is>
          <t>SEP-020</t>
        </is>
      </c>
      <c r="B21" s="1" t="n">
        <v>46271</v>
      </c>
      <c r="C21" t="inlineStr">
        <is>
          <t>Laptop</t>
        </is>
      </c>
      <c r="D21" t="inlineStr">
        <is>
          <t>Computers</t>
        </is>
      </c>
      <c r="E21" t="inlineStr">
        <is>
          <t>Port Harcourt</t>
        </is>
      </c>
      <c r="F21" t="inlineStr">
        <is>
          <t>Corporate</t>
        </is>
      </c>
      <c r="G21" t="inlineStr">
        <is>
          <t>Ibrahim</t>
        </is>
      </c>
      <c r="H21" t="n">
        <v>2</v>
      </c>
      <c r="I21" s="12" t="n">
        <v>450000</v>
      </c>
      <c r="J21" s="12" t="n">
        <v>320000</v>
      </c>
      <c r="K21" s="12">
        <f>H21*I21</f>
        <v/>
      </c>
      <c r="L21" s="12">
        <f>H21*J21</f>
        <v/>
      </c>
      <c r="M21" s="12">
        <f>K21-L21</f>
        <v/>
      </c>
      <c r="N21">
        <f>IFERROR(M21/K21,0)</f>
        <v/>
      </c>
    </row>
    <row r="22">
      <c r="A22" t="inlineStr">
        <is>
          <t>SEP-021</t>
        </is>
      </c>
      <c r="B22" s="1" t="n">
        <v>46272</v>
      </c>
      <c r="C22" t="inlineStr">
        <is>
          <t>Smartphone</t>
        </is>
      </c>
      <c r="D22" t="inlineStr">
        <is>
          <t>Phones</t>
        </is>
      </c>
      <c r="E22" t="inlineStr">
        <is>
          <t>Lagos</t>
        </is>
      </c>
      <c r="F22" t="inlineStr">
        <is>
          <t>In-store</t>
        </is>
      </c>
      <c r="G22" t="inlineStr">
        <is>
          <t>Tunde</t>
        </is>
      </c>
      <c r="H22" t="n">
        <v>4</v>
      </c>
      <c r="I22" s="12" t="n">
        <v>280000</v>
      </c>
      <c r="J22" s="12" t="n">
        <v>205000</v>
      </c>
      <c r="K22" s="12">
        <f>H22*I22</f>
        <v/>
      </c>
      <c r="L22" s="12">
        <f>H22*J22</f>
        <v/>
      </c>
      <c r="M22" s="12">
        <f>K22-L22</f>
        <v/>
      </c>
      <c r="N22">
        <f>IFERROR(M22/K22,0)</f>
        <v/>
      </c>
    </row>
    <row r="23">
      <c r="A23" t="inlineStr">
        <is>
          <t>SEP-022</t>
        </is>
      </c>
      <c r="B23" s="1" t="n">
        <v>46272</v>
      </c>
      <c r="C23" t="inlineStr">
        <is>
          <t>External SSD</t>
        </is>
      </c>
      <c r="D23" t="inlineStr">
        <is>
          <t>Storage</t>
        </is>
      </c>
      <c r="E23" t="inlineStr">
        <is>
          <t>Abuja</t>
        </is>
      </c>
      <c r="F23" t="inlineStr">
        <is>
          <t>Online</t>
        </is>
      </c>
      <c r="G23" t="inlineStr">
        <is>
          <t>Ada</t>
        </is>
      </c>
      <c r="H23" t="n">
        <v>3</v>
      </c>
      <c r="I23" s="12" t="n">
        <v>85000</v>
      </c>
      <c r="J23" s="12" t="n">
        <v>57000</v>
      </c>
      <c r="K23" s="12">
        <f>H23*I23</f>
        <v/>
      </c>
      <c r="L23" s="12">
        <f>H23*J23</f>
        <v/>
      </c>
      <c r="M23" s="12">
        <f>K23-L23</f>
        <v/>
      </c>
      <c r="N23">
        <f>IFERROR(M23/K23,0)</f>
        <v/>
      </c>
    </row>
    <row r="24">
      <c r="A24" t="inlineStr">
        <is>
          <t>SEP-023</t>
        </is>
      </c>
      <c r="B24" s="1" t="n">
        <v>46272</v>
      </c>
      <c r="C24" t="inlineStr">
        <is>
          <t>Monitor</t>
        </is>
      </c>
      <c r="D24" t="inlineStr">
        <is>
          <t>Accessories</t>
        </is>
      </c>
      <c r="E24" t="inlineStr">
        <is>
          <t>Kano</t>
        </is>
      </c>
      <c r="F24" t="inlineStr">
        <is>
          <t>Corporate</t>
        </is>
      </c>
      <c r="G24" t="inlineStr">
        <is>
          <t>Bola</t>
        </is>
      </c>
      <c r="H24" t="n">
        <v>2</v>
      </c>
      <c r="I24" s="12" t="n">
        <v>150000</v>
      </c>
      <c r="J24" s="12" t="n">
        <v>105000</v>
      </c>
      <c r="K24" s="12">
        <f>H24*I24</f>
        <v/>
      </c>
      <c r="L24" s="12">
        <f>H24*J24</f>
        <v/>
      </c>
      <c r="M24" s="12">
        <f>K24-L24</f>
        <v/>
      </c>
      <c r="N24">
        <f>IFERROR(M24/K24,0)</f>
        <v/>
      </c>
    </row>
    <row r="25">
      <c r="A25" t="inlineStr">
        <is>
          <t>SEP-024</t>
        </is>
      </c>
      <c r="B25" s="1" t="n">
        <v>46273</v>
      </c>
      <c r="C25" t="inlineStr">
        <is>
          <t>Tablet</t>
        </is>
      </c>
      <c r="D25" t="inlineStr">
        <is>
          <t>Computers</t>
        </is>
      </c>
      <c r="E25" t="inlineStr">
        <is>
          <t>Ibadan</t>
        </is>
      </c>
      <c r="F25" t="inlineStr">
        <is>
          <t>Online</t>
        </is>
      </c>
      <c r="G25" t="inlineStr">
        <is>
          <t>Chika</t>
        </is>
      </c>
      <c r="H25" t="n">
        <v>1</v>
      </c>
      <c r="I25" s="12" t="n">
        <v>180000</v>
      </c>
      <c r="J25" s="12" t="n">
        <v>125000</v>
      </c>
      <c r="K25" s="12">
        <f>H25*I25</f>
        <v/>
      </c>
      <c r="L25" s="12">
        <f>H25*J25</f>
        <v/>
      </c>
      <c r="M25" s="12">
        <f>K25-L25</f>
        <v/>
      </c>
      <c r="N25">
        <f>IFERROR(M25/K25,0)</f>
        <v/>
      </c>
    </row>
    <row r="26">
      <c r="A26" t="inlineStr">
        <is>
          <t>SEP-025</t>
        </is>
      </c>
      <c r="B26" s="1" t="n">
        <v>46273</v>
      </c>
      <c r="C26" t="inlineStr">
        <is>
          <t>Keyboard</t>
        </is>
      </c>
      <c r="D26" t="inlineStr">
        <is>
          <t>Accessories</t>
        </is>
      </c>
      <c r="E26" t="inlineStr">
        <is>
          <t>Abuja</t>
        </is>
      </c>
      <c r="F26" t="inlineStr">
        <is>
          <t>In-store</t>
        </is>
      </c>
      <c r="G26" t="inlineStr">
        <is>
          <t>Emeka</t>
        </is>
      </c>
      <c r="H26" t="n">
        <v>6</v>
      </c>
      <c r="I26" s="12" t="n">
        <v>25000</v>
      </c>
      <c r="J26" s="12" t="n">
        <v>14000</v>
      </c>
      <c r="K26" s="12">
        <f>H26*I26</f>
        <v/>
      </c>
      <c r="L26" s="12">
        <f>H26*J26</f>
        <v/>
      </c>
      <c r="M26" s="12">
        <f>K26-L26</f>
        <v/>
      </c>
      <c r="N26">
        <f>IFERROR(M26/K26,0)</f>
        <v/>
      </c>
    </row>
    <row r="27">
      <c r="A27" t="inlineStr">
        <is>
          <t>SEP-026</t>
        </is>
      </c>
      <c r="B27" s="1" t="n">
        <v>46273</v>
      </c>
      <c r="C27" t="inlineStr">
        <is>
          <t>Router</t>
        </is>
      </c>
      <c r="D27" t="inlineStr">
        <is>
          <t>Networking</t>
        </is>
      </c>
      <c r="E27" t="inlineStr">
        <is>
          <t>Lagos</t>
        </is>
      </c>
      <c r="F27" t="inlineStr">
        <is>
          <t>Corporate</t>
        </is>
      </c>
      <c r="G27" t="inlineStr">
        <is>
          <t>Fatima</t>
        </is>
      </c>
      <c r="H27" t="n">
        <v>2</v>
      </c>
      <c r="I27" s="12" t="n">
        <v>65000</v>
      </c>
      <c r="J27" s="12" t="n">
        <v>42000</v>
      </c>
      <c r="K27" s="12">
        <f>H27*I27</f>
        <v/>
      </c>
      <c r="L27" s="12">
        <f>H27*J27</f>
        <v/>
      </c>
      <c r="M27" s="12">
        <f>K27-L27</f>
        <v/>
      </c>
      <c r="N27">
        <f>IFERROR(M27/K27,0)</f>
        <v/>
      </c>
    </row>
    <row r="28">
      <c r="A28" t="inlineStr">
        <is>
          <t>SEP-027</t>
        </is>
      </c>
      <c r="B28" s="1" t="n">
        <v>46274</v>
      </c>
      <c r="C28" t="inlineStr">
        <is>
          <t>Printer</t>
        </is>
      </c>
      <c r="D28" t="inlineStr">
        <is>
          <t>Office Equipment</t>
        </is>
      </c>
      <c r="E28" t="inlineStr">
        <is>
          <t>Abuja</t>
        </is>
      </c>
      <c r="F28" t="inlineStr">
        <is>
          <t>Online</t>
        </is>
      </c>
      <c r="G28" t="inlineStr">
        <is>
          <t>Ibrahim</t>
        </is>
      </c>
      <c r="H28" t="n">
        <v>1</v>
      </c>
      <c r="I28" s="12" t="n">
        <v>135000</v>
      </c>
      <c r="J28" s="12" t="n">
        <v>95000</v>
      </c>
      <c r="K28" s="12">
        <f>H28*I28</f>
        <v/>
      </c>
      <c r="L28" s="12">
        <f>H28*J28</f>
        <v/>
      </c>
      <c r="M28" s="12">
        <f>K28-L28</f>
        <v/>
      </c>
      <c r="N28">
        <f>IFERROR(M28/K28,0)</f>
        <v/>
      </c>
    </row>
    <row r="29">
      <c r="A29" t="inlineStr">
        <is>
          <t>SEP-028</t>
        </is>
      </c>
      <c r="B29" s="1" t="n">
        <v>46274</v>
      </c>
      <c r="C29" t="inlineStr">
        <is>
          <t>Mouse</t>
        </is>
      </c>
      <c r="D29" t="inlineStr">
        <is>
          <t>Accessories</t>
        </is>
      </c>
      <c r="E29" t="inlineStr">
        <is>
          <t>Port Harcourt</t>
        </is>
      </c>
      <c r="F29" t="inlineStr">
        <is>
          <t>In-store</t>
        </is>
      </c>
      <c r="G29" t="inlineStr">
        <is>
          <t>Tunde</t>
        </is>
      </c>
      <c r="H29" t="n">
        <v>7</v>
      </c>
      <c r="I29" s="12" t="n">
        <v>12000</v>
      </c>
      <c r="J29" s="12" t="n">
        <v>6500</v>
      </c>
      <c r="K29" s="12">
        <f>H29*I29</f>
        <v/>
      </c>
      <c r="L29" s="12">
        <f>H29*J29</f>
        <v/>
      </c>
      <c r="M29" s="12">
        <f>K29-L29</f>
        <v/>
      </c>
      <c r="N29">
        <f>IFERROR(M29/K29,0)</f>
        <v/>
      </c>
    </row>
    <row r="30">
      <c r="A30" t="inlineStr">
        <is>
          <t>SEP-029</t>
        </is>
      </c>
      <c r="B30" s="1" t="n">
        <v>46274</v>
      </c>
      <c r="C30" t="inlineStr">
        <is>
          <t>Smartphone</t>
        </is>
      </c>
      <c r="D30" t="inlineStr">
        <is>
          <t>Phones</t>
        </is>
      </c>
      <c r="E30" t="inlineStr">
        <is>
          <t>Kano</t>
        </is>
      </c>
      <c r="F30" t="inlineStr">
        <is>
          <t>Online</t>
        </is>
      </c>
      <c r="G30" t="inlineStr">
        <is>
          <t>Ada</t>
        </is>
      </c>
      <c r="H30" t="n">
        <v>3</v>
      </c>
      <c r="I30" s="12" t="n">
        <v>280000</v>
      </c>
      <c r="J30" s="12" t="n">
        <v>205000</v>
      </c>
      <c r="K30" s="12">
        <f>H30*I30</f>
        <v/>
      </c>
      <c r="L30" s="12">
        <f>H30*J30</f>
        <v/>
      </c>
      <c r="M30" s="12">
        <f>K30-L30</f>
        <v/>
      </c>
      <c r="N30">
        <f>IFERROR(M30/K30,0)</f>
        <v/>
      </c>
    </row>
    <row r="31">
      <c r="A31" t="inlineStr">
        <is>
          <t>SEP-030</t>
        </is>
      </c>
      <c r="B31" s="1" t="n">
        <v>46274</v>
      </c>
      <c r="C31" t="inlineStr">
        <is>
          <t>Headphones</t>
        </is>
      </c>
      <c r="D31" t="inlineStr">
        <is>
          <t>Accessories</t>
        </is>
      </c>
      <c r="E31" t="inlineStr">
        <is>
          <t>Lagos</t>
        </is>
      </c>
      <c r="F31" t="inlineStr">
        <is>
          <t>In-store</t>
        </is>
      </c>
      <c r="G31" t="inlineStr">
        <is>
          <t>Bola</t>
        </is>
      </c>
      <c r="H31" t="n">
        <v>5</v>
      </c>
      <c r="I31" s="12" t="n">
        <v>38000</v>
      </c>
      <c r="J31" s="12" t="n">
        <v>22000</v>
      </c>
      <c r="K31" s="12">
        <f>H31*I31</f>
        <v/>
      </c>
      <c r="L31" s="12">
        <f>H31*J31</f>
        <v/>
      </c>
      <c r="M31" s="12">
        <f>K31-L31</f>
        <v/>
      </c>
      <c r="N31">
        <f>IFERROR(M31/K31,0)</f>
        <v/>
      </c>
    </row>
    <row r="32">
      <c r="A32" t="inlineStr">
        <is>
          <t>SEP-031</t>
        </is>
      </c>
      <c r="B32" s="1" t="n">
        <v>46275</v>
      </c>
      <c r="C32" t="inlineStr">
        <is>
          <t>Laptop</t>
        </is>
      </c>
      <c r="D32" t="inlineStr">
        <is>
          <t>Computers</t>
        </is>
      </c>
      <c r="E32" t="inlineStr">
        <is>
          <t>Abuja</t>
        </is>
      </c>
      <c r="F32" t="inlineStr">
        <is>
          <t>Corporate</t>
        </is>
      </c>
      <c r="G32" t="inlineStr">
        <is>
          <t>Chika</t>
        </is>
      </c>
      <c r="H32" t="n">
        <v>3</v>
      </c>
      <c r="I32" s="12" t="n">
        <v>450000</v>
      </c>
      <c r="J32" s="12" t="n">
        <v>320000</v>
      </c>
      <c r="K32" s="12">
        <f>H32*I32</f>
        <v/>
      </c>
      <c r="L32" s="12">
        <f>H32*J32</f>
        <v/>
      </c>
      <c r="M32" s="12">
        <f>K32-L32</f>
        <v/>
      </c>
      <c r="N32">
        <f>IFERROR(M32/K32,0)</f>
        <v/>
      </c>
    </row>
    <row r="33">
      <c r="A33" t="inlineStr">
        <is>
          <t>SEP-032</t>
        </is>
      </c>
      <c r="B33" s="1" t="n">
        <v>46275</v>
      </c>
      <c r="C33" t="inlineStr">
        <is>
          <t>Tablet</t>
        </is>
      </c>
      <c r="D33" t="inlineStr">
        <is>
          <t>Computers</t>
        </is>
      </c>
      <c r="E33" t="inlineStr">
        <is>
          <t>Lagos</t>
        </is>
      </c>
      <c r="F33" t="inlineStr">
        <is>
          <t>Online</t>
        </is>
      </c>
      <c r="G33" t="inlineStr">
        <is>
          <t>Emeka</t>
        </is>
      </c>
      <c r="H33" t="n">
        <v>2</v>
      </c>
      <c r="I33" s="12" t="n">
        <v>180000</v>
      </c>
      <c r="J33" s="12" t="n">
        <v>125000</v>
      </c>
      <c r="K33" s="12">
        <f>H33*I33</f>
        <v/>
      </c>
      <c r="L33" s="12">
        <f>H33*J33</f>
        <v/>
      </c>
      <c r="M33" s="12">
        <f>K33-L33</f>
        <v/>
      </c>
      <c r="N33">
        <f>IFERROR(M33/K33,0)</f>
        <v/>
      </c>
    </row>
    <row r="34">
      <c r="A34" t="inlineStr">
        <is>
          <t>SEP-033</t>
        </is>
      </c>
      <c r="B34" s="1" t="n">
        <v>46275</v>
      </c>
      <c r="C34" t="inlineStr">
        <is>
          <t>External SSD</t>
        </is>
      </c>
      <c r="D34" t="inlineStr">
        <is>
          <t>Storage</t>
        </is>
      </c>
      <c r="E34" t="inlineStr">
        <is>
          <t>Ibadan</t>
        </is>
      </c>
      <c r="F34" t="inlineStr">
        <is>
          <t>In-store</t>
        </is>
      </c>
      <c r="G34" t="inlineStr">
        <is>
          <t>Fatima</t>
        </is>
      </c>
      <c r="H34" t="n">
        <v>2</v>
      </c>
      <c r="I34" s="12" t="n">
        <v>85000</v>
      </c>
      <c r="J34" s="12" t="n">
        <v>57000</v>
      </c>
      <c r="K34" s="12">
        <f>H34*I34</f>
        <v/>
      </c>
      <c r="L34" s="12">
        <f>H34*J34</f>
        <v/>
      </c>
      <c r="M34" s="12">
        <f>K34-L34</f>
        <v/>
      </c>
      <c r="N34">
        <f>IFERROR(M34/K34,0)</f>
        <v/>
      </c>
    </row>
    <row r="35">
      <c r="A35" t="inlineStr">
        <is>
          <t>SEP-034</t>
        </is>
      </c>
      <c r="B35" s="1" t="n">
        <v>46276</v>
      </c>
      <c r="C35" t="inlineStr">
        <is>
          <t>Monitor</t>
        </is>
      </c>
      <c r="D35" t="inlineStr">
        <is>
          <t>Accessories</t>
        </is>
      </c>
      <c r="E35" t="inlineStr">
        <is>
          <t>Port Harcourt</t>
        </is>
      </c>
      <c r="F35" t="inlineStr">
        <is>
          <t>Corporate</t>
        </is>
      </c>
      <c r="G35" t="inlineStr">
        <is>
          <t>Ibrahim</t>
        </is>
      </c>
      <c r="H35" t="n">
        <v>1</v>
      </c>
      <c r="I35" s="12" t="n">
        <v>150000</v>
      </c>
      <c r="J35" s="12" t="n">
        <v>105000</v>
      </c>
      <c r="K35" s="12">
        <f>H35*I35</f>
        <v/>
      </c>
      <c r="L35" s="12">
        <f>H35*J35</f>
        <v/>
      </c>
      <c r="M35" s="12">
        <f>K35-L35</f>
        <v/>
      </c>
      <c r="N35">
        <f>IFERROR(M35/K35,0)</f>
        <v/>
      </c>
    </row>
    <row r="36">
      <c r="A36" t="inlineStr">
        <is>
          <t>SEP-035</t>
        </is>
      </c>
      <c r="B36" s="1" t="n">
        <v>46276</v>
      </c>
      <c r="C36" t="inlineStr">
        <is>
          <t>Keyboard</t>
        </is>
      </c>
      <c r="D36" t="inlineStr">
        <is>
          <t>Accessories</t>
        </is>
      </c>
      <c r="E36" t="inlineStr">
        <is>
          <t>Kano</t>
        </is>
      </c>
      <c r="F36" t="inlineStr">
        <is>
          <t>Online</t>
        </is>
      </c>
      <c r="G36" t="inlineStr">
        <is>
          <t>Tunde</t>
        </is>
      </c>
      <c r="H36" t="n">
        <v>4</v>
      </c>
      <c r="I36" s="12" t="n">
        <v>25000</v>
      </c>
      <c r="J36" s="12" t="n">
        <v>14000</v>
      </c>
      <c r="K36" s="12">
        <f>H36*I36</f>
        <v/>
      </c>
      <c r="L36" s="12">
        <f>H36*J36</f>
        <v/>
      </c>
      <c r="M36" s="12">
        <f>K36-L36</f>
        <v/>
      </c>
      <c r="N36">
        <f>IFERROR(M36/K36,0)</f>
        <v/>
      </c>
    </row>
    <row r="37">
      <c r="A37" t="inlineStr">
        <is>
          <t>SEP-036</t>
        </is>
      </c>
      <c r="B37" s="1" t="n">
        <v>46276</v>
      </c>
      <c r="C37" t="inlineStr">
        <is>
          <t>Smartphone</t>
        </is>
      </c>
      <c r="D37" t="inlineStr">
        <is>
          <t>Phones</t>
        </is>
      </c>
      <c r="E37" t="inlineStr">
        <is>
          <t>Abuja</t>
        </is>
      </c>
      <c r="F37" t="inlineStr">
        <is>
          <t>In-store</t>
        </is>
      </c>
      <c r="G37" t="inlineStr">
        <is>
          <t>Ada</t>
        </is>
      </c>
      <c r="H37" t="n">
        <v>2</v>
      </c>
      <c r="I37" s="12" t="n">
        <v>280000</v>
      </c>
      <c r="J37" s="12" t="n">
        <v>205000</v>
      </c>
      <c r="K37" s="12">
        <f>H37*I37</f>
        <v/>
      </c>
      <c r="L37" s="12">
        <f>H37*J37</f>
        <v/>
      </c>
      <c r="M37" s="12">
        <f>K37-L37</f>
        <v/>
      </c>
      <c r="N37">
        <f>IFERROR(M37/K37,0)</f>
        <v/>
      </c>
    </row>
    <row r="38">
      <c r="A38" t="inlineStr">
        <is>
          <t>SEP-037</t>
        </is>
      </c>
      <c r="B38" s="1" t="n">
        <v>46277</v>
      </c>
      <c r="C38" t="inlineStr">
        <is>
          <t>Router</t>
        </is>
      </c>
      <c r="D38" t="inlineStr">
        <is>
          <t>Networking</t>
        </is>
      </c>
      <c r="E38" t="inlineStr">
        <is>
          <t>Lagos</t>
        </is>
      </c>
      <c r="F38" t="inlineStr">
        <is>
          <t>Online</t>
        </is>
      </c>
      <c r="G38" t="inlineStr">
        <is>
          <t>Bola</t>
        </is>
      </c>
      <c r="H38" t="n">
        <v>3</v>
      </c>
      <c r="I38" s="12" t="n">
        <v>65000</v>
      </c>
      <c r="J38" s="12" t="n">
        <v>42000</v>
      </c>
      <c r="K38" s="12">
        <f>H38*I38</f>
        <v/>
      </c>
      <c r="L38" s="12">
        <f>H38*J38</f>
        <v/>
      </c>
      <c r="M38" s="12">
        <f>K38-L38</f>
        <v/>
      </c>
      <c r="N38">
        <f>IFERROR(M38/K38,0)</f>
        <v/>
      </c>
    </row>
    <row r="39">
      <c r="A39" t="inlineStr">
        <is>
          <t>SEP-038</t>
        </is>
      </c>
      <c r="B39" s="1" t="n">
        <v>46277</v>
      </c>
      <c r="C39" t="inlineStr">
        <is>
          <t>Printer</t>
        </is>
      </c>
      <c r="D39" t="inlineStr">
        <is>
          <t>Office Equipment</t>
        </is>
      </c>
      <c r="E39" t="inlineStr">
        <is>
          <t>Ibadan</t>
        </is>
      </c>
      <c r="F39" t="inlineStr">
        <is>
          <t>Corporate</t>
        </is>
      </c>
      <c r="G39" t="inlineStr">
        <is>
          <t>Chika</t>
        </is>
      </c>
      <c r="H39" t="n">
        <v>2</v>
      </c>
      <c r="I39" s="12" t="n">
        <v>135000</v>
      </c>
      <c r="J39" s="12" t="n">
        <v>95000</v>
      </c>
      <c r="K39" s="12">
        <f>H39*I39</f>
        <v/>
      </c>
      <c r="L39" s="12">
        <f>H39*J39</f>
        <v/>
      </c>
      <c r="M39" s="12">
        <f>K39-L39</f>
        <v/>
      </c>
      <c r="N39">
        <f>IFERROR(M39/K39,0)</f>
        <v/>
      </c>
    </row>
    <row r="40">
      <c r="A40" t="inlineStr">
        <is>
          <t>SEP-039</t>
        </is>
      </c>
      <c r="B40" s="1" t="n">
        <v>46277</v>
      </c>
      <c r="C40" t="inlineStr">
        <is>
          <t>Mouse</t>
        </is>
      </c>
      <c r="D40" t="inlineStr">
        <is>
          <t>Accessories</t>
        </is>
      </c>
      <c r="E40" t="inlineStr">
        <is>
          <t>Abuja</t>
        </is>
      </c>
      <c r="F40" t="inlineStr">
        <is>
          <t>In-store</t>
        </is>
      </c>
      <c r="G40" t="inlineStr">
        <is>
          <t>Emeka</t>
        </is>
      </c>
      <c r="H40" t="n">
        <v>8</v>
      </c>
      <c r="I40" s="12" t="n">
        <v>12000</v>
      </c>
      <c r="J40" s="12" t="n">
        <v>6500</v>
      </c>
      <c r="K40" s="12">
        <f>H40*I40</f>
        <v/>
      </c>
      <c r="L40" s="12">
        <f>H40*J40</f>
        <v/>
      </c>
      <c r="M40" s="12">
        <f>K40-L40</f>
        <v/>
      </c>
      <c r="N40">
        <f>IFERROR(M40/K40,0)</f>
        <v/>
      </c>
    </row>
    <row r="41">
      <c r="A41" t="inlineStr">
        <is>
          <t>SEP-040</t>
        </is>
      </c>
      <c r="B41" s="1" t="n">
        <v>46277</v>
      </c>
      <c r="C41" t="inlineStr">
        <is>
          <t>Laptop</t>
        </is>
      </c>
      <c r="D41" t="inlineStr">
        <is>
          <t>Computers</t>
        </is>
      </c>
      <c r="E41" t="inlineStr">
        <is>
          <t>Kano</t>
        </is>
      </c>
      <c r="F41" t="inlineStr">
        <is>
          <t>Corporate</t>
        </is>
      </c>
      <c r="G41" t="inlineStr">
        <is>
          <t>Fatima</t>
        </is>
      </c>
      <c r="H41" t="n">
        <v>1</v>
      </c>
      <c r="I41" s="12" t="n">
        <v>450000</v>
      </c>
      <c r="J41" s="12" t="n">
        <v>320000</v>
      </c>
      <c r="K41" s="12">
        <f>H41*I41</f>
        <v/>
      </c>
      <c r="L41" s="12">
        <f>H41*J41</f>
        <v/>
      </c>
      <c r="M41" s="12">
        <f>K41-L41</f>
        <v/>
      </c>
      <c r="N41">
        <f>IFERROR(M41/K41,0)</f>
        <v/>
      </c>
    </row>
    <row r="42">
      <c r="A42" t="inlineStr">
        <is>
          <t>SEP-041</t>
        </is>
      </c>
      <c r="B42" s="1" t="n">
        <v>46278</v>
      </c>
      <c r="C42" t="inlineStr">
        <is>
          <t>Headphones</t>
        </is>
      </c>
      <c r="D42" t="inlineStr">
        <is>
          <t>Accessories</t>
        </is>
      </c>
      <c r="E42" t="inlineStr">
        <is>
          <t>Port Harcourt</t>
        </is>
      </c>
      <c r="F42" t="inlineStr">
        <is>
          <t>Online</t>
        </is>
      </c>
      <c r="G42" t="inlineStr">
        <is>
          <t>Ibrahim</t>
        </is>
      </c>
      <c r="H42" t="n">
        <v>4</v>
      </c>
      <c r="I42" s="12" t="n">
        <v>38000</v>
      </c>
      <c r="J42" s="12" t="n">
        <v>22000</v>
      </c>
      <c r="K42" s="12">
        <f>H42*I42</f>
        <v/>
      </c>
      <c r="L42" s="12">
        <f>H42*J42</f>
        <v/>
      </c>
      <c r="M42" s="12">
        <f>K42-L42</f>
        <v/>
      </c>
      <c r="N42">
        <f>IFERROR(M42/K42,0)</f>
        <v/>
      </c>
    </row>
    <row r="43">
      <c r="A43" t="inlineStr">
        <is>
          <t>SEP-042</t>
        </is>
      </c>
      <c r="B43" s="1" t="n">
        <v>46278</v>
      </c>
      <c r="C43" t="inlineStr">
        <is>
          <t>Tablet</t>
        </is>
      </c>
      <c r="D43" t="inlineStr">
        <is>
          <t>Computers</t>
        </is>
      </c>
      <c r="E43" t="inlineStr">
        <is>
          <t>Abuja</t>
        </is>
      </c>
      <c r="F43" t="inlineStr">
        <is>
          <t>In-store</t>
        </is>
      </c>
      <c r="G43" t="inlineStr">
        <is>
          <t>Tunde</t>
        </is>
      </c>
      <c r="H43" t="n">
        <v>2</v>
      </c>
      <c r="I43" s="12" t="n">
        <v>180000</v>
      </c>
      <c r="J43" s="12" t="n">
        <v>125000</v>
      </c>
      <c r="K43" s="12">
        <f>H43*I43</f>
        <v/>
      </c>
      <c r="L43" s="12">
        <f>H43*J43</f>
        <v/>
      </c>
      <c r="M43" s="12">
        <f>K43-L43</f>
        <v/>
      </c>
      <c r="N43">
        <f>IFERROR(M43/K43,0)</f>
        <v/>
      </c>
    </row>
    <row r="44">
      <c r="A44" t="inlineStr">
        <is>
          <t>SEP-043</t>
        </is>
      </c>
      <c r="B44" s="1" t="n">
        <v>46278</v>
      </c>
      <c r="C44" t="inlineStr">
        <is>
          <t>External SSD</t>
        </is>
      </c>
      <c r="D44" t="inlineStr">
        <is>
          <t>Storage</t>
        </is>
      </c>
      <c r="E44" t="inlineStr">
        <is>
          <t>Lagos</t>
        </is>
      </c>
      <c r="F44" t="inlineStr">
        <is>
          <t>Corporate</t>
        </is>
      </c>
      <c r="G44" t="inlineStr">
        <is>
          <t>Ada</t>
        </is>
      </c>
      <c r="H44" t="n">
        <v>5</v>
      </c>
      <c r="I44" s="12" t="n">
        <v>85000</v>
      </c>
      <c r="J44" s="12" t="n">
        <v>57000</v>
      </c>
      <c r="K44" s="12">
        <f>H44*I44</f>
        <v/>
      </c>
      <c r="L44" s="12">
        <f>H44*J44</f>
        <v/>
      </c>
      <c r="M44" s="12">
        <f>K44-L44</f>
        <v/>
      </c>
      <c r="N44">
        <f>IFERROR(M44/K44,0)</f>
        <v/>
      </c>
    </row>
    <row r="45">
      <c r="A45" t="inlineStr">
        <is>
          <t>SEP-044</t>
        </is>
      </c>
      <c r="B45" s="1" t="n">
        <v>46279</v>
      </c>
      <c r="C45" t="inlineStr">
        <is>
          <t>Monitor</t>
        </is>
      </c>
      <c r="D45" t="inlineStr">
        <is>
          <t>Accessories</t>
        </is>
      </c>
      <c r="E45" t="inlineStr">
        <is>
          <t>Abuja</t>
        </is>
      </c>
      <c r="F45" t="inlineStr">
        <is>
          <t>Online</t>
        </is>
      </c>
      <c r="G45" t="inlineStr">
        <is>
          <t>Bola</t>
        </is>
      </c>
      <c r="H45" t="n">
        <v>3</v>
      </c>
      <c r="I45" s="12" t="n">
        <v>150000</v>
      </c>
      <c r="J45" s="12" t="n">
        <v>105000</v>
      </c>
      <c r="K45" s="12">
        <f>H45*I45</f>
        <v/>
      </c>
      <c r="L45" s="12">
        <f>H45*J45</f>
        <v/>
      </c>
      <c r="M45" s="12">
        <f>K45-L45</f>
        <v/>
      </c>
      <c r="N45">
        <f>IFERROR(M45/K45,0)</f>
        <v/>
      </c>
    </row>
    <row r="46">
      <c r="A46" t="inlineStr">
        <is>
          <t>SEP-045</t>
        </is>
      </c>
      <c r="B46" s="1" t="n">
        <v>46279</v>
      </c>
      <c r="C46" t="inlineStr">
        <is>
          <t>Smartphone</t>
        </is>
      </c>
      <c r="D46" t="inlineStr">
        <is>
          <t>Phones</t>
        </is>
      </c>
      <c r="E46" t="inlineStr">
        <is>
          <t>Ibadan</t>
        </is>
      </c>
      <c r="F46" t="inlineStr">
        <is>
          <t>In-store</t>
        </is>
      </c>
      <c r="G46" t="inlineStr">
        <is>
          <t>Chika</t>
        </is>
      </c>
      <c r="H46" t="n">
        <v>1</v>
      </c>
      <c r="I46" s="12" t="n">
        <v>280000</v>
      </c>
      <c r="J46" s="12" t="n">
        <v>205000</v>
      </c>
      <c r="K46" s="12">
        <f>H46*I46</f>
        <v/>
      </c>
      <c r="L46" s="12">
        <f>H46*J46</f>
        <v/>
      </c>
      <c r="M46" s="12">
        <f>K46-L46</f>
        <v/>
      </c>
      <c r="N46">
        <f>IFERROR(M46/K46,0)</f>
        <v/>
      </c>
    </row>
    <row r="47">
      <c r="A47" t="inlineStr">
        <is>
          <t>SEP-046</t>
        </is>
      </c>
      <c r="B47" s="1" t="n">
        <v>46279</v>
      </c>
      <c r="C47" t="inlineStr">
        <is>
          <t>Keyboard</t>
        </is>
      </c>
      <c r="D47" t="inlineStr">
        <is>
          <t>Accessories</t>
        </is>
      </c>
      <c r="E47" t="inlineStr">
        <is>
          <t>Lagos</t>
        </is>
      </c>
      <c r="F47" t="inlineStr">
        <is>
          <t>Online</t>
        </is>
      </c>
      <c r="G47" t="inlineStr">
        <is>
          <t>Emeka</t>
        </is>
      </c>
      <c r="H47" t="n">
        <v>7</v>
      </c>
      <c r="I47" s="12" t="n">
        <v>25000</v>
      </c>
      <c r="J47" s="12" t="n">
        <v>14000</v>
      </c>
      <c r="K47" s="12">
        <f>H47*I47</f>
        <v/>
      </c>
      <c r="L47" s="12">
        <f>H47*J47</f>
        <v/>
      </c>
      <c r="M47" s="12">
        <f>K47-L47</f>
        <v/>
      </c>
      <c r="N47">
        <f>IFERROR(M47/K47,0)</f>
        <v/>
      </c>
    </row>
    <row r="48">
      <c r="A48" t="inlineStr">
        <is>
          <t>SEP-047</t>
        </is>
      </c>
      <c r="B48" s="1" t="n">
        <v>46280</v>
      </c>
      <c r="C48" t="inlineStr">
        <is>
          <t>Laptop</t>
        </is>
      </c>
      <c r="D48" t="inlineStr">
        <is>
          <t>Computers</t>
        </is>
      </c>
      <c r="E48" t="inlineStr">
        <is>
          <t>Port Harcourt</t>
        </is>
      </c>
      <c r="F48" t="inlineStr">
        <is>
          <t>Corporate</t>
        </is>
      </c>
      <c r="G48" t="inlineStr">
        <is>
          <t>Fatima</t>
        </is>
      </c>
      <c r="H48" t="n">
        <v>2</v>
      </c>
      <c r="I48" s="12" t="n">
        <v>450000</v>
      </c>
      <c r="J48" s="12" t="n">
        <v>320000</v>
      </c>
      <c r="K48" s="12">
        <f>H48*I48</f>
        <v/>
      </c>
      <c r="L48" s="12">
        <f>H48*J48</f>
        <v/>
      </c>
      <c r="M48" s="12">
        <f>K48-L48</f>
        <v/>
      </c>
      <c r="N48">
        <f>IFERROR(M48/K48,0)</f>
        <v/>
      </c>
    </row>
    <row r="49">
      <c r="A49" t="inlineStr">
        <is>
          <t>SEP-048</t>
        </is>
      </c>
      <c r="B49" s="1" t="n">
        <v>46280</v>
      </c>
      <c r="C49" t="inlineStr">
        <is>
          <t>Router</t>
        </is>
      </c>
      <c r="D49" t="inlineStr">
        <is>
          <t>Networking</t>
        </is>
      </c>
      <c r="E49" t="inlineStr">
        <is>
          <t>Kano</t>
        </is>
      </c>
      <c r="F49" t="inlineStr">
        <is>
          <t>In-store</t>
        </is>
      </c>
      <c r="G49" t="inlineStr">
        <is>
          <t>Ibrahim</t>
        </is>
      </c>
      <c r="H49" t="n">
        <v>1</v>
      </c>
      <c r="I49" s="12" t="n">
        <v>65000</v>
      </c>
      <c r="J49" s="12" t="n">
        <v>42000</v>
      </c>
      <c r="K49" s="12">
        <f>H49*I49</f>
        <v/>
      </c>
      <c r="L49" s="12">
        <f>H49*J49</f>
        <v/>
      </c>
      <c r="M49" s="12">
        <f>K49-L49</f>
        <v/>
      </c>
      <c r="N49">
        <f>IFERROR(M49/K49,0)</f>
        <v/>
      </c>
    </row>
    <row r="50">
      <c r="A50" t="inlineStr">
        <is>
          <t>SEP-049</t>
        </is>
      </c>
      <c r="B50" s="1" t="n">
        <v>46280</v>
      </c>
      <c r="C50" t="inlineStr">
        <is>
          <t>Printer</t>
        </is>
      </c>
      <c r="D50" t="inlineStr">
        <is>
          <t>Office Equipment</t>
        </is>
      </c>
      <c r="E50" t="inlineStr">
        <is>
          <t>Abuja</t>
        </is>
      </c>
      <c r="F50" t="inlineStr">
        <is>
          <t>Corporate</t>
        </is>
      </c>
      <c r="G50" t="inlineStr">
        <is>
          <t>Tunde</t>
        </is>
      </c>
      <c r="H50" t="n">
        <v>3</v>
      </c>
      <c r="I50" s="12" t="n">
        <v>135000</v>
      </c>
      <c r="J50" s="12" t="n">
        <v>95000</v>
      </c>
      <c r="K50" s="12">
        <f>H50*I50</f>
        <v/>
      </c>
      <c r="L50" s="12">
        <f>H50*J50</f>
        <v/>
      </c>
      <c r="M50" s="12">
        <f>K50-L50</f>
        <v/>
      </c>
      <c r="N50">
        <f>IFERROR(M50/K50,0)</f>
        <v/>
      </c>
    </row>
    <row r="51">
      <c r="A51" t="inlineStr">
        <is>
          <t>SEP-050</t>
        </is>
      </c>
      <c r="B51" s="1" t="n">
        <v>46280</v>
      </c>
      <c r="C51" t="inlineStr">
        <is>
          <t>Mouse</t>
        </is>
      </c>
      <c r="D51" t="inlineStr">
        <is>
          <t>Accessories</t>
        </is>
      </c>
      <c r="E51" t="inlineStr">
        <is>
          <t>Lagos</t>
        </is>
      </c>
      <c r="F51" t="inlineStr">
        <is>
          <t>Online</t>
        </is>
      </c>
      <c r="G51" t="inlineStr">
        <is>
          <t>Ada</t>
        </is>
      </c>
      <c r="H51" t="n">
        <v>6</v>
      </c>
      <c r="I51" s="12" t="n">
        <v>12000</v>
      </c>
      <c r="J51" s="12" t="n">
        <v>6500</v>
      </c>
      <c r="K51" s="12">
        <f>H51*I51</f>
        <v/>
      </c>
      <c r="L51" s="12">
        <f>H51*J51</f>
        <v/>
      </c>
      <c r="M51" s="12">
        <f>K51-L51</f>
        <v/>
      </c>
      <c r="N51">
        <f>IFERROR(M51/K51,0)</f>
        <v/>
      </c>
    </row>
    <row r="52">
      <c r="A52" t="inlineStr">
        <is>
          <t>SEP-051</t>
        </is>
      </c>
      <c r="B52" s="1" t="n">
        <v>46281</v>
      </c>
      <c r="C52" t="inlineStr">
        <is>
          <t>Tablet</t>
        </is>
      </c>
      <c r="D52" t="inlineStr">
        <is>
          <t>Computers</t>
        </is>
      </c>
      <c r="E52" t="inlineStr">
        <is>
          <t>Abuja</t>
        </is>
      </c>
      <c r="F52" t="inlineStr">
        <is>
          <t>Online</t>
        </is>
      </c>
      <c r="G52" t="inlineStr">
        <is>
          <t>Bola</t>
        </is>
      </c>
      <c r="H52" t="n">
        <v>4</v>
      </c>
      <c r="I52" s="12" t="n">
        <v>180000</v>
      </c>
      <c r="J52" s="12" t="n">
        <v>125000</v>
      </c>
      <c r="K52" s="12">
        <f>H52*I52</f>
        <v/>
      </c>
      <c r="L52" s="12">
        <f>H52*J52</f>
        <v/>
      </c>
      <c r="M52" s="12">
        <f>K52-L52</f>
        <v/>
      </c>
      <c r="N52">
        <f>IFERROR(M52/K52,0)</f>
        <v/>
      </c>
    </row>
    <row r="53">
      <c r="A53" t="inlineStr">
        <is>
          <t>SEP-052</t>
        </is>
      </c>
      <c r="B53" s="1" t="n">
        <v>46281</v>
      </c>
      <c r="C53" t="inlineStr">
        <is>
          <t>Smartphone</t>
        </is>
      </c>
      <c r="D53" t="inlineStr">
        <is>
          <t>Phones</t>
        </is>
      </c>
      <c r="E53" t="inlineStr">
        <is>
          <t>Port Harcourt</t>
        </is>
      </c>
      <c r="F53" t="inlineStr">
        <is>
          <t>Corporate</t>
        </is>
      </c>
      <c r="G53" t="inlineStr">
        <is>
          <t>Chika</t>
        </is>
      </c>
      <c r="H53" t="n">
        <v>2</v>
      </c>
      <c r="I53" s="12" t="n">
        <v>280000</v>
      </c>
      <c r="J53" s="12" t="n">
        <v>205000</v>
      </c>
      <c r="K53" s="12">
        <f>H53*I53</f>
        <v/>
      </c>
      <c r="L53" s="12">
        <f>H53*J53</f>
        <v/>
      </c>
      <c r="M53" s="12">
        <f>K53-L53</f>
        <v/>
      </c>
      <c r="N53">
        <f>IFERROR(M53/K53,0)</f>
        <v/>
      </c>
    </row>
    <row r="54">
      <c r="A54" t="inlineStr">
        <is>
          <t>SEP-053</t>
        </is>
      </c>
      <c r="B54" s="1" t="n">
        <v>46281</v>
      </c>
      <c r="C54" t="inlineStr">
        <is>
          <t>Headphones</t>
        </is>
      </c>
      <c r="D54" t="inlineStr">
        <is>
          <t>Accessories</t>
        </is>
      </c>
      <c r="E54" t="inlineStr">
        <is>
          <t>Ibadan</t>
        </is>
      </c>
      <c r="F54" t="inlineStr">
        <is>
          <t>In-store</t>
        </is>
      </c>
      <c r="G54" t="inlineStr">
        <is>
          <t>Emeka</t>
        </is>
      </c>
      <c r="H54" t="n">
        <v>3</v>
      </c>
      <c r="I54" s="12" t="n">
        <v>38000</v>
      </c>
      <c r="J54" s="12" t="n">
        <v>22000</v>
      </c>
      <c r="K54" s="12">
        <f>H54*I54</f>
        <v/>
      </c>
      <c r="L54" s="12">
        <f>H54*J54</f>
        <v/>
      </c>
      <c r="M54" s="12">
        <f>K54-L54</f>
        <v/>
      </c>
      <c r="N54">
        <f>IFERROR(M54/K54,0)</f>
        <v/>
      </c>
    </row>
    <row r="55">
      <c r="A55" t="inlineStr">
        <is>
          <t>SEP-054</t>
        </is>
      </c>
      <c r="B55" s="1" t="n">
        <v>46282</v>
      </c>
      <c r="C55" t="inlineStr">
        <is>
          <t>External SSD</t>
        </is>
      </c>
      <c r="D55" t="inlineStr">
        <is>
          <t>Storage</t>
        </is>
      </c>
      <c r="E55" t="inlineStr">
        <is>
          <t>Abuja</t>
        </is>
      </c>
      <c r="F55" t="inlineStr">
        <is>
          <t>Online</t>
        </is>
      </c>
      <c r="G55" t="inlineStr">
        <is>
          <t>Fatima</t>
        </is>
      </c>
      <c r="H55" t="n">
        <v>2</v>
      </c>
      <c r="I55" s="12" t="n">
        <v>85000</v>
      </c>
      <c r="J55" s="12" t="n">
        <v>57000</v>
      </c>
      <c r="K55" s="12">
        <f>H55*I55</f>
        <v/>
      </c>
      <c r="L55" s="12">
        <f>H55*J55</f>
        <v/>
      </c>
      <c r="M55" s="12">
        <f>K55-L55</f>
        <v/>
      </c>
      <c r="N55">
        <f>IFERROR(M55/K55,0)</f>
        <v/>
      </c>
    </row>
    <row r="56">
      <c r="A56" t="inlineStr">
        <is>
          <t>SEP-055</t>
        </is>
      </c>
      <c r="B56" s="1" t="n">
        <v>46282</v>
      </c>
      <c r="C56" t="inlineStr">
        <is>
          <t>Monitor</t>
        </is>
      </c>
      <c r="D56" t="inlineStr">
        <is>
          <t>Accessories</t>
        </is>
      </c>
      <c r="E56" t="inlineStr">
        <is>
          <t>Lagos</t>
        </is>
      </c>
      <c r="F56" t="inlineStr">
        <is>
          <t>Corporate</t>
        </is>
      </c>
      <c r="G56" t="inlineStr">
        <is>
          <t>Ibrahim</t>
        </is>
      </c>
      <c r="H56" t="n">
        <v>4</v>
      </c>
      <c r="I56" s="12" t="n">
        <v>150000</v>
      </c>
      <c r="J56" s="12" t="n">
        <v>105000</v>
      </c>
      <c r="K56" s="12">
        <f>H56*I56</f>
        <v/>
      </c>
      <c r="L56" s="12">
        <f>H56*J56</f>
        <v/>
      </c>
      <c r="M56" s="12">
        <f>K56-L56</f>
        <v/>
      </c>
      <c r="N56">
        <f>IFERROR(M56/K56,0)</f>
        <v/>
      </c>
    </row>
    <row r="57">
      <c r="A57" t="inlineStr">
        <is>
          <t>SEP-056</t>
        </is>
      </c>
      <c r="B57" s="1" t="n">
        <v>46282</v>
      </c>
      <c r="C57" t="inlineStr">
        <is>
          <t>Keyboard</t>
        </is>
      </c>
      <c r="D57" t="inlineStr">
        <is>
          <t>Accessories</t>
        </is>
      </c>
      <c r="E57" t="inlineStr">
        <is>
          <t>Kano</t>
        </is>
      </c>
      <c r="F57" t="inlineStr">
        <is>
          <t>In-store</t>
        </is>
      </c>
      <c r="G57" t="inlineStr">
        <is>
          <t>Tunde</t>
        </is>
      </c>
      <c r="H57" t="n">
        <v>5</v>
      </c>
      <c r="I57" s="12" t="n">
        <v>25000</v>
      </c>
      <c r="J57" s="12" t="n">
        <v>14000</v>
      </c>
      <c r="K57" s="12">
        <f>H57*I57</f>
        <v/>
      </c>
      <c r="L57" s="12">
        <f>H57*J57</f>
        <v/>
      </c>
      <c r="M57" s="12">
        <f>K57-L57</f>
        <v/>
      </c>
      <c r="N57">
        <f>IFERROR(M57/K57,0)</f>
        <v/>
      </c>
    </row>
    <row r="58">
      <c r="A58" t="inlineStr">
        <is>
          <t>SEP-057</t>
        </is>
      </c>
      <c r="B58" s="1" t="n">
        <v>46283</v>
      </c>
      <c r="C58" t="inlineStr">
        <is>
          <t>Laptop</t>
        </is>
      </c>
      <c r="D58" t="inlineStr">
        <is>
          <t>Computers</t>
        </is>
      </c>
      <c r="E58" t="inlineStr">
        <is>
          <t>Abuja</t>
        </is>
      </c>
      <c r="F58" t="inlineStr">
        <is>
          <t>Corporate</t>
        </is>
      </c>
      <c r="G58" t="inlineStr">
        <is>
          <t>Ada</t>
        </is>
      </c>
      <c r="H58" t="n">
        <v>1</v>
      </c>
      <c r="I58" s="12" t="n">
        <v>450000</v>
      </c>
      <c r="J58" s="12" t="n">
        <v>320000</v>
      </c>
      <c r="K58" s="12">
        <f>H58*I58</f>
        <v/>
      </c>
      <c r="L58" s="12">
        <f>H58*J58</f>
        <v/>
      </c>
      <c r="M58" s="12">
        <f>K58-L58</f>
        <v/>
      </c>
      <c r="N58">
        <f>IFERROR(M58/K58,0)</f>
        <v/>
      </c>
    </row>
    <row r="59">
      <c r="A59" t="inlineStr">
        <is>
          <t>SEP-058</t>
        </is>
      </c>
      <c r="B59" s="1" t="n">
        <v>46283</v>
      </c>
      <c r="C59" t="inlineStr">
        <is>
          <t>Printer</t>
        </is>
      </c>
      <c r="D59" t="inlineStr">
        <is>
          <t>Office Equipment</t>
        </is>
      </c>
      <c r="E59" t="inlineStr">
        <is>
          <t>Lagos</t>
        </is>
      </c>
      <c r="F59" t="inlineStr">
        <is>
          <t>Online</t>
        </is>
      </c>
      <c r="G59" t="inlineStr">
        <is>
          <t>Bola</t>
        </is>
      </c>
      <c r="H59" t="n">
        <v>2</v>
      </c>
      <c r="I59" s="12" t="n">
        <v>135000</v>
      </c>
      <c r="J59" s="12" t="n">
        <v>95000</v>
      </c>
      <c r="K59" s="12">
        <f>H59*I59</f>
        <v/>
      </c>
      <c r="L59" s="12">
        <f>H59*J59</f>
        <v/>
      </c>
      <c r="M59" s="12">
        <f>K59-L59</f>
        <v/>
      </c>
      <c r="N59">
        <f>IFERROR(M59/K59,0)</f>
        <v/>
      </c>
    </row>
    <row r="60">
      <c r="A60" t="inlineStr">
        <is>
          <t>SEP-059</t>
        </is>
      </c>
      <c r="B60" s="1" t="n">
        <v>46283</v>
      </c>
      <c r="C60" t="inlineStr">
        <is>
          <t>Router</t>
        </is>
      </c>
      <c r="D60" t="inlineStr">
        <is>
          <t>Networking</t>
        </is>
      </c>
      <c r="E60" t="inlineStr">
        <is>
          <t>Port Harcourt</t>
        </is>
      </c>
      <c r="F60" t="inlineStr">
        <is>
          <t>Corporate</t>
        </is>
      </c>
      <c r="G60" t="inlineStr">
        <is>
          <t>Chika</t>
        </is>
      </c>
      <c r="H60" t="n">
        <v>3</v>
      </c>
      <c r="I60" s="12" t="n">
        <v>65000</v>
      </c>
      <c r="J60" s="12" t="n">
        <v>42000</v>
      </c>
      <c r="K60" s="12">
        <f>H60*I60</f>
        <v/>
      </c>
      <c r="L60" s="12">
        <f>H60*J60</f>
        <v/>
      </c>
      <c r="M60" s="12">
        <f>K60-L60</f>
        <v/>
      </c>
      <c r="N60">
        <f>IFERROR(M60/K60,0)</f>
        <v/>
      </c>
    </row>
    <row r="61">
      <c r="A61" t="inlineStr">
        <is>
          <t>SEP-060</t>
        </is>
      </c>
      <c r="B61" s="1" t="n">
        <v>46283</v>
      </c>
      <c r="C61" t="inlineStr">
        <is>
          <t>Smartphone</t>
        </is>
      </c>
      <c r="D61" t="inlineStr">
        <is>
          <t>Phones</t>
        </is>
      </c>
      <c r="E61" t="inlineStr">
        <is>
          <t>Abuja</t>
        </is>
      </c>
      <c r="F61" t="inlineStr">
        <is>
          <t>In-store</t>
        </is>
      </c>
      <c r="G61" t="inlineStr">
        <is>
          <t>Emeka</t>
        </is>
      </c>
      <c r="H61" t="n">
        <v>3</v>
      </c>
      <c r="I61" s="12" t="n">
        <v>280000</v>
      </c>
      <c r="J61" s="12" t="n">
        <v>205000</v>
      </c>
      <c r="K61" s="12">
        <f>H61*I61</f>
        <v/>
      </c>
      <c r="L61" s="12">
        <f>H61*J61</f>
        <v/>
      </c>
      <c r="M61" s="12">
        <f>K61-L61</f>
        <v/>
      </c>
      <c r="N61">
        <f>IFERROR(M61/K61,0)</f>
        <v/>
      </c>
    </row>
    <row r="62">
      <c r="A62" t="inlineStr">
        <is>
          <t>SEP-061</t>
        </is>
      </c>
      <c r="B62" s="1" t="n">
        <v>46284</v>
      </c>
      <c r="C62" t="inlineStr">
        <is>
          <t>Mouse</t>
        </is>
      </c>
      <c r="D62" t="inlineStr">
        <is>
          <t>Accessories</t>
        </is>
      </c>
      <c r="E62" t="inlineStr">
        <is>
          <t>Kano</t>
        </is>
      </c>
      <c r="F62" t="inlineStr">
        <is>
          <t>Online</t>
        </is>
      </c>
      <c r="G62" t="inlineStr">
        <is>
          <t>Fatima</t>
        </is>
      </c>
      <c r="H62" t="n">
        <v>4</v>
      </c>
      <c r="I62" s="12" t="n">
        <v>12000</v>
      </c>
      <c r="J62" s="12" t="n">
        <v>6500</v>
      </c>
      <c r="K62" s="12">
        <f>H62*I62</f>
        <v/>
      </c>
      <c r="L62" s="12">
        <f>H62*J62</f>
        <v/>
      </c>
      <c r="M62" s="12">
        <f>K62-L62</f>
        <v/>
      </c>
      <c r="N62">
        <f>IFERROR(M62/K62,0)</f>
        <v/>
      </c>
    </row>
    <row r="63">
      <c r="A63" t="inlineStr">
        <is>
          <t>SEP-062</t>
        </is>
      </c>
      <c r="B63" s="1" t="n">
        <v>46284</v>
      </c>
      <c r="C63" t="inlineStr">
        <is>
          <t>Tablet</t>
        </is>
      </c>
      <c r="D63" t="inlineStr">
        <is>
          <t>Computers</t>
        </is>
      </c>
      <c r="E63" t="inlineStr">
        <is>
          <t>Lagos</t>
        </is>
      </c>
      <c r="F63" t="inlineStr">
        <is>
          <t>Corporate</t>
        </is>
      </c>
      <c r="G63" t="inlineStr">
        <is>
          <t>Ibrahim</t>
        </is>
      </c>
      <c r="H63" t="n">
        <v>2</v>
      </c>
      <c r="I63" s="12" t="n">
        <v>180000</v>
      </c>
      <c r="J63" s="12" t="n">
        <v>125000</v>
      </c>
      <c r="K63" s="12">
        <f>H63*I63</f>
        <v/>
      </c>
      <c r="L63" s="12">
        <f>H63*J63</f>
        <v/>
      </c>
      <c r="M63" s="12">
        <f>K63-L63</f>
        <v/>
      </c>
      <c r="N63">
        <f>IFERROR(M63/K63,0)</f>
        <v/>
      </c>
    </row>
    <row r="64">
      <c r="A64" t="inlineStr">
        <is>
          <t>SEP-063</t>
        </is>
      </c>
      <c r="B64" s="1" t="n">
        <v>46284</v>
      </c>
      <c r="C64" t="inlineStr">
        <is>
          <t>Headphones</t>
        </is>
      </c>
      <c r="D64" t="inlineStr">
        <is>
          <t>Accessories</t>
        </is>
      </c>
      <c r="E64" t="inlineStr">
        <is>
          <t>Abuja</t>
        </is>
      </c>
      <c r="F64" t="inlineStr">
        <is>
          <t>In-store</t>
        </is>
      </c>
      <c r="G64" t="inlineStr">
        <is>
          <t>Tunde</t>
        </is>
      </c>
      <c r="H64" t="n">
        <v>6</v>
      </c>
      <c r="I64" s="12" t="n">
        <v>38000</v>
      </c>
      <c r="J64" s="12" t="n">
        <v>22000</v>
      </c>
      <c r="K64" s="12">
        <f>H64*I64</f>
        <v/>
      </c>
      <c r="L64" s="12">
        <f>H64*J64</f>
        <v/>
      </c>
      <c r="M64" s="12">
        <f>K64-L64</f>
        <v/>
      </c>
      <c r="N64">
        <f>IFERROR(M64/K64,0)</f>
        <v/>
      </c>
    </row>
    <row r="65">
      <c r="A65" t="inlineStr">
        <is>
          <t>SEP-064</t>
        </is>
      </c>
      <c r="B65" s="1" t="n">
        <v>46285</v>
      </c>
      <c r="C65" t="inlineStr">
        <is>
          <t>External SSD</t>
        </is>
      </c>
      <c r="D65" t="inlineStr">
        <is>
          <t>Storage</t>
        </is>
      </c>
      <c r="E65" t="inlineStr">
        <is>
          <t>Port Harcourt</t>
        </is>
      </c>
      <c r="F65" t="inlineStr">
        <is>
          <t>Online</t>
        </is>
      </c>
      <c r="G65" t="inlineStr">
        <is>
          <t>Ada</t>
        </is>
      </c>
      <c r="H65" t="n">
        <v>3</v>
      </c>
      <c r="I65" s="12" t="n">
        <v>85000</v>
      </c>
      <c r="J65" s="12" t="n">
        <v>57000</v>
      </c>
      <c r="K65" s="12">
        <f>H65*I65</f>
        <v/>
      </c>
      <c r="L65" s="12">
        <f>H65*J65</f>
        <v/>
      </c>
      <c r="M65" s="12">
        <f>K65-L65</f>
        <v/>
      </c>
      <c r="N65">
        <f>IFERROR(M65/K65,0)</f>
        <v/>
      </c>
    </row>
    <row r="66">
      <c r="A66" t="inlineStr">
        <is>
          <t>SEP-065</t>
        </is>
      </c>
      <c r="B66" s="1" t="n">
        <v>46285</v>
      </c>
      <c r="C66" t="inlineStr">
        <is>
          <t>Monitor</t>
        </is>
      </c>
      <c r="D66" t="inlineStr">
        <is>
          <t>Accessories</t>
        </is>
      </c>
      <c r="E66" t="inlineStr">
        <is>
          <t>Ibadan</t>
        </is>
      </c>
      <c r="F66" t="inlineStr">
        <is>
          <t>Corporate</t>
        </is>
      </c>
      <c r="G66" t="inlineStr">
        <is>
          <t>Bola</t>
        </is>
      </c>
      <c r="H66" t="n">
        <v>2</v>
      </c>
      <c r="I66" s="12" t="n">
        <v>150000</v>
      </c>
      <c r="J66" s="12" t="n">
        <v>105000</v>
      </c>
      <c r="K66" s="12">
        <f>H66*I66</f>
        <v/>
      </c>
      <c r="L66" s="12">
        <f>H66*J66</f>
        <v/>
      </c>
      <c r="M66" s="12">
        <f>K66-L66</f>
        <v/>
      </c>
      <c r="N66">
        <f>IFERROR(M66/K66,0)</f>
        <v/>
      </c>
    </row>
    <row r="67">
      <c r="A67" t="inlineStr">
        <is>
          <t>SEP-066</t>
        </is>
      </c>
      <c r="B67" s="1" t="n">
        <v>46285</v>
      </c>
      <c r="C67" t="inlineStr">
        <is>
          <t>Keyboard</t>
        </is>
      </c>
      <c r="D67" t="inlineStr">
        <is>
          <t>Accessories</t>
        </is>
      </c>
      <c r="E67" t="inlineStr">
        <is>
          <t>Abuja</t>
        </is>
      </c>
      <c r="F67" t="inlineStr">
        <is>
          <t>Online</t>
        </is>
      </c>
      <c r="G67" t="inlineStr">
        <is>
          <t>Chika</t>
        </is>
      </c>
      <c r="H67" t="n">
        <v>4</v>
      </c>
      <c r="I67" s="12" t="n">
        <v>25000</v>
      </c>
      <c r="J67" s="12" t="n">
        <v>14000</v>
      </c>
      <c r="K67" s="12">
        <f>H67*I67</f>
        <v/>
      </c>
      <c r="L67" s="12">
        <f>H67*J67</f>
        <v/>
      </c>
      <c r="M67" s="12">
        <f>K67-L67</f>
        <v/>
      </c>
      <c r="N67">
        <f>IFERROR(M67/K67,0)</f>
        <v/>
      </c>
    </row>
    <row r="68">
      <c r="A68" t="inlineStr">
        <is>
          <t>SEP-067</t>
        </is>
      </c>
      <c r="B68" s="1" t="n">
        <v>46286</v>
      </c>
      <c r="C68" t="inlineStr">
        <is>
          <t>Laptop</t>
        </is>
      </c>
      <c r="D68" t="inlineStr">
        <is>
          <t>Computers</t>
        </is>
      </c>
      <c r="E68" t="inlineStr">
        <is>
          <t>Lagos</t>
        </is>
      </c>
      <c r="F68" t="inlineStr">
        <is>
          <t>Corporate</t>
        </is>
      </c>
      <c r="G68" t="inlineStr">
        <is>
          <t>Emeka</t>
        </is>
      </c>
      <c r="H68" t="n">
        <v>2</v>
      </c>
      <c r="I68" s="12" t="n">
        <v>450000</v>
      </c>
      <c r="J68" s="12" t="n">
        <v>320000</v>
      </c>
      <c r="K68" s="12">
        <f>H68*I68</f>
        <v/>
      </c>
      <c r="L68" s="12">
        <f>H68*J68</f>
        <v/>
      </c>
      <c r="M68" s="12">
        <f>K68-L68</f>
        <v/>
      </c>
      <c r="N68">
        <f>IFERROR(M68/K68,0)</f>
        <v/>
      </c>
    </row>
    <row r="69">
      <c r="A69" t="inlineStr">
        <is>
          <t>SEP-068</t>
        </is>
      </c>
      <c r="B69" s="1" t="n">
        <v>46286</v>
      </c>
      <c r="C69" t="inlineStr">
        <is>
          <t>Smartphone</t>
        </is>
      </c>
      <c r="D69" t="inlineStr">
        <is>
          <t>Phones</t>
        </is>
      </c>
      <c r="E69" t="inlineStr">
        <is>
          <t>Kano</t>
        </is>
      </c>
      <c r="F69" t="inlineStr">
        <is>
          <t>In-store</t>
        </is>
      </c>
      <c r="G69" t="inlineStr">
        <is>
          <t>Fatima</t>
        </is>
      </c>
      <c r="H69" t="n">
        <v>1</v>
      </c>
      <c r="I69" s="12" t="n">
        <v>280000</v>
      </c>
      <c r="J69" s="12" t="n">
        <v>205000</v>
      </c>
      <c r="K69" s="12">
        <f>H69*I69</f>
        <v/>
      </c>
      <c r="L69" s="12">
        <f>H69*J69</f>
        <v/>
      </c>
      <c r="M69" s="12">
        <f>K69-L69</f>
        <v/>
      </c>
      <c r="N69">
        <f>IFERROR(M69/K69,0)</f>
        <v/>
      </c>
    </row>
    <row r="70">
      <c r="A70" t="inlineStr">
        <is>
          <t>SEP-069</t>
        </is>
      </c>
      <c r="B70" s="1" t="n">
        <v>46286</v>
      </c>
      <c r="C70" t="inlineStr">
        <is>
          <t>Printer</t>
        </is>
      </c>
      <c r="D70" t="inlineStr">
        <is>
          <t>Office Equipment</t>
        </is>
      </c>
      <c r="E70" t="inlineStr">
        <is>
          <t>Abuja</t>
        </is>
      </c>
      <c r="F70" t="inlineStr">
        <is>
          <t>Corporate</t>
        </is>
      </c>
      <c r="G70" t="inlineStr">
        <is>
          <t>Ibrahim</t>
        </is>
      </c>
      <c r="H70" t="n">
        <v>2</v>
      </c>
      <c r="I70" s="12" t="n">
        <v>135000</v>
      </c>
      <c r="J70" s="12" t="n">
        <v>95000</v>
      </c>
      <c r="K70" s="12">
        <f>H70*I70</f>
        <v/>
      </c>
      <c r="L70" s="12">
        <f>H70*J70</f>
        <v/>
      </c>
      <c r="M70" s="12">
        <f>K70-L70</f>
        <v/>
      </c>
      <c r="N70">
        <f>IFERROR(M70/K70,0)</f>
        <v/>
      </c>
    </row>
    <row r="71">
      <c r="A71" t="inlineStr">
        <is>
          <t>SEP-070</t>
        </is>
      </c>
      <c r="B71" s="1" t="n">
        <v>46286</v>
      </c>
      <c r="C71" t="inlineStr">
        <is>
          <t>Router</t>
        </is>
      </c>
      <c r="D71" t="inlineStr">
        <is>
          <t>Networking</t>
        </is>
      </c>
      <c r="E71" t="inlineStr">
        <is>
          <t>Lagos</t>
        </is>
      </c>
      <c r="F71" t="inlineStr">
        <is>
          <t>Online</t>
        </is>
      </c>
      <c r="G71" t="inlineStr">
        <is>
          <t>Tunde</t>
        </is>
      </c>
      <c r="H71" t="n">
        <v>4</v>
      </c>
      <c r="I71" s="12" t="n">
        <v>65000</v>
      </c>
      <c r="J71" s="12" t="n">
        <v>42000</v>
      </c>
      <c r="K71" s="12">
        <f>H71*I71</f>
        <v/>
      </c>
      <c r="L71" s="12">
        <f>H71*J71</f>
        <v/>
      </c>
      <c r="M71" s="12">
        <f>K71-L71</f>
        <v/>
      </c>
      <c r="N71">
        <f>IFERROR(M71/K71,0)</f>
        <v/>
      </c>
    </row>
    <row r="72">
      <c r="A72" t="inlineStr">
        <is>
          <t>SEP-071</t>
        </is>
      </c>
      <c r="B72" s="1" t="n">
        <v>46287</v>
      </c>
      <c r="C72" t="inlineStr">
        <is>
          <t>Tablet</t>
        </is>
      </c>
      <c r="D72" t="inlineStr">
        <is>
          <t>Computers</t>
        </is>
      </c>
      <c r="E72" t="inlineStr">
        <is>
          <t>Port Harcourt</t>
        </is>
      </c>
      <c r="F72" t="inlineStr">
        <is>
          <t>In-store</t>
        </is>
      </c>
      <c r="G72" t="inlineStr">
        <is>
          <t>Ada</t>
        </is>
      </c>
      <c r="H72" t="n">
        <v>3</v>
      </c>
      <c r="I72" s="12" t="n">
        <v>180000</v>
      </c>
      <c r="J72" s="12" t="n">
        <v>125000</v>
      </c>
      <c r="K72" s="12">
        <f>H72*I72</f>
        <v/>
      </c>
      <c r="L72" s="12">
        <f>H72*J72</f>
        <v/>
      </c>
      <c r="M72" s="12">
        <f>K72-L72</f>
        <v/>
      </c>
      <c r="N72">
        <f>IFERROR(M72/K72,0)</f>
        <v/>
      </c>
    </row>
    <row r="73">
      <c r="A73" t="inlineStr">
        <is>
          <t>SEP-072</t>
        </is>
      </c>
      <c r="B73" s="1" t="n">
        <v>46287</v>
      </c>
      <c r="C73" t="inlineStr">
        <is>
          <t>Mouse</t>
        </is>
      </c>
      <c r="D73" t="inlineStr">
        <is>
          <t>Accessories</t>
        </is>
      </c>
      <c r="E73" t="inlineStr">
        <is>
          <t>Abuja</t>
        </is>
      </c>
      <c r="F73" t="inlineStr">
        <is>
          <t>Online</t>
        </is>
      </c>
      <c r="G73" t="inlineStr">
        <is>
          <t>Bola</t>
        </is>
      </c>
      <c r="H73" t="n">
        <v>5</v>
      </c>
      <c r="I73" s="12" t="n">
        <v>12000</v>
      </c>
      <c r="J73" s="12" t="n">
        <v>6500</v>
      </c>
      <c r="K73" s="12">
        <f>H73*I73</f>
        <v/>
      </c>
      <c r="L73" s="12">
        <f>H73*J73</f>
        <v/>
      </c>
      <c r="M73" s="12">
        <f>K73-L73</f>
        <v/>
      </c>
      <c r="N73">
        <f>IFERROR(M73/K73,0)</f>
        <v/>
      </c>
    </row>
    <row r="74">
      <c r="A74" t="inlineStr">
        <is>
          <t>SEP-073</t>
        </is>
      </c>
      <c r="B74" s="1" t="n">
        <v>46287</v>
      </c>
      <c r="C74" t="inlineStr">
        <is>
          <t>Headphones</t>
        </is>
      </c>
      <c r="D74" t="inlineStr">
        <is>
          <t>Accessories</t>
        </is>
      </c>
      <c r="E74" t="inlineStr">
        <is>
          <t>Lagos</t>
        </is>
      </c>
      <c r="F74" t="inlineStr">
        <is>
          <t>Corporate</t>
        </is>
      </c>
      <c r="G74" t="inlineStr">
        <is>
          <t>Chika</t>
        </is>
      </c>
      <c r="H74" t="n">
        <v>2</v>
      </c>
      <c r="I74" s="12" t="n">
        <v>38000</v>
      </c>
      <c r="J74" s="12" t="n">
        <v>22000</v>
      </c>
      <c r="K74" s="12">
        <f>H74*I74</f>
        <v/>
      </c>
      <c r="L74" s="12">
        <f>H74*J74</f>
        <v/>
      </c>
      <c r="M74" s="12">
        <f>K74-L74</f>
        <v/>
      </c>
      <c r="N74">
        <f>IFERROR(M74/K74,0)</f>
        <v/>
      </c>
    </row>
    <row r="75">
      <c r="A75" t="inlineStr">
        <is>
          <t>SEP-074</t>
        </is>
      </c>
      <c r="B75" s="1" t="n">
        <v>46288</v>
      </c>
      <c r="C75" t="inlineStr">
        <is>
          <t>External SSD</t>
        </is>
      </c>
      <c r="D75" t="inlineStr">
        <is>
          <t>Storage</t>
        </is>
      </c>
      <c r="E75" t="inlineStr">
        <is>
          <t>Kano</t>
        </is>
      </c>
      <c r="F75" t="inlineStr">
        <is>
          <t>Online</t>
        </is>
      </c>
      <c r="G75" t="inlineStr">
        <is>
          <t>Emeka</t>
        </is>
      </c>
      <c r="H75" t="n">
        <v>4</v>
      </c>
      <c r="I75" s="12" t="n">
        <v>85000</v>
      </c>
      <c r="J75" s="12" t="n">
        <v>57000</v>
      </c>
      <c r="K75" s="12">
        <f>H75*I75</f>
        <v/>
      </c>
      <c r="L75" s="12">
        <f>H75*J75</f>
        <v/>
      </c>
      <c r="M75" s="12">
        <f>K75-L75</f>
        <v/>
      </c>
      <c r="N75">
        <f>IFERROR(M75/K75,0)</f>
        <v/>
      </c>
    </row>
    <row r="76">
      <c r="A76" t="inlineStr">
        <is>
          <t>SEP-075</t>
        </is>
      </c>
      <c r="B76" s="1" t="n">
        <v>46288</v>
      </c>
      <c r="C76" t="inlineStr">
        <is>
          <t>Monitor</t>
        </is>
      </c>
      <c r="D76" t="inlineStr">
        <is>
          <t>Accessories</t>
        </is>
      </c>
      <c r="E76" t="inlineStr">
        <is>
          <t>Abuja</t>
        </is>
      </c>
      <c r="F76" t="inlineStr">
        <is>
          <t>Corporate</t>
        </is>
      </c>
      <c r="G76" t="inlineStr">
        <is>
          <t>Fatima</t>
        </is>
      </c>
      <c r="H76" t="n">
        <v>1</v>
      </c>
      <c r="I76" s="12" t="n">
        <v>150000</v>
      </c>
      <c r="J76" s="12" t="n">
        <v>105000</v>
      </c>
      <c r="K76" s="12">
        <f>H76*I76</f>
        <v/>
      </c>
      <c r="L76" s="12">
        <f>H76*J76</f>
        <v/>
      </c>
      <c r="M76" s="12">
        <f>K76-L76</f>
        <v/>
      </c>
      <c r="N76">
        <f>IFERROR(M76/K76,0)</f>
        <v/>
      </c>
    </row>
    <row r="77">
      <c r="A77" t="inlineStr">
        <is>
          <t>SEP-076</t>
        </is>
      </c>
      <c r="B77" s="1" t="n">
        <v>46288</v>
      </c>
      <c r="C77" t="inlineStr">
        <is>
          <t>Keyboard</t>
        </is>
      </c>
      <c r="D77" t="inlineStr">
        <is>
          <t>Accessories</t>
        </is>
      </c>
      <c r="E77" t="inlineStr">
        <is>
          <t>Ibadan</t>
        </is>
      </c>
      <c r="F77" t="inlineStr">
        <is>
          <t>In-store</t>
        </is>
      </c>
      <c r="G77" t="inlineStr">
        <is>
          <t>Ibrahim</t>
        </is>
      </c>
      <c r="H77" t="n">
        <v>6</v>
      </c>
      <c r="I77" s="12" t="n">
        <v>25000</v>
      </c>
      <c r="J77" s="12" t="n">
        <v>14000</v>
      </c>
      <c r="K77" s="12">
        <f>H77*I77</f>
        <v/>
      </c>
      <c r="L77" s="12">
        <f>H77*J77</f>
        <v/>
      </c>
      <c r="M77" s="12">
        <f>K77-L77</f>
        <v/>
      </c>
      <c r="N77">
        <f>IFERROR(M77/K77,0)</f>
        <v/>
      </c>
    </row>
    <row r="78">
      <c r="A78" t="inlineStr">
        <is>
          <t>SEP-077</t>
        </is>
      </c>
      <c r="B78" s="1" t="n">
        <v>46289</v>
      </c>
      <c r="C78" t="inlineStr">
        <is>
          <t>Laptop</t>
        </is>
      </c>
      <c r="D78" t="inlineStr">
        <is>
          <t>Computers</t>
        </is>
      </c>
      <c r="E78" t="inlineStr">
        <is>
          <t>Abuja</t>
        </is>
      </c>
      <c r="F78" t="inlineStr">
        <is>
          <t>Corporate</t>
        </is>
      </c>
      <c r="G78" t="inlineStr">
        <is>
          <t>Tunde</t>
        </is>
      </c>
      <c r="H78" t="n">
        <v>2</v>
      </c>
      <c r="I78" s="12" t="n">
        <v>450000</v>
      </c>
      <c r="J78" s="12" t="n">
        <v>320000</v>
      </c>
      <c r="K78" s="12">
        <f>H78*I78</f>
        <v/>
      </c>
      <c r="L78" s="12">
        <f>H78*J78</f>
        <v/>
      </c>
      <c r="M78" s="12">
        <f>K78-L78</f>
        <v/>
      </c>
      <c r="N78">
        <f>IFERROR(M78/K78,0)</f>
        <v/>
      </c>
    </row>
    <row r="79">
      <c r="A79" t="inlineStr">
        <is>
          <t>SEP-078</t>
        </is>
      </c>
      <c r="B79" s="1" t="n">
        <v>46289</v>
      </c>
      <c r="C79" t="inlineStr">
        <is>
          <t>Smartphone</t>
        </is>
      </c>
      <c r="D79" t="inlineStr">
        <is>
          <t>Phones</t>
        </is>
      </c>
      <c r="E79" t="inlineStr">
        <is>
          <t>Lagos</t>
        </is>
      </c>
      <c r="F79" t="inlineStr">
        <is>
          <t>Online</t>
        </is>
      </c>
      <c r="G79" t="inlineStr">
        <is>
          <t>Ada</t>
        </is>
      </c>
      <c r="H79" t="n">
        <v>3</v>
      </c>
      <c r="I79" s="12" t="n">
        <v>280000</v>
      </c>
      <c r="J79" s="12" t="n">
        <v>205000</v>
      </c>
      <c r="K79" s="12">
        <f>H79*I79</f>
        <v/>
      </c>
      <c r="L79" s="12">
        <f>H79*J79</f>
        <v/>
      </c>
      <c r="M79" s="12">
        <f>K79-L79</f>
        <v/>
      </c>
      <c r="N79">
        <f>IFERROR(M79/K79,0)</f>
        <v/>
      </c>
    </row>
    <row r="80">
      <c r="A80" t="inlineStr">
        <is>
          <t>SEP-079</t>
        </is>
      </c>
      <c r="B80" s="1" t="n">
        <v>46289</v>
      </c>
      <c r="C80" t="inlineStr">
        <is>
          <t>Printer</t>
        </is>
      </c>
      <c r="D80" t="inlineStr">
        <is>
          <t>Office Equipment</t>
        </is>
      </c>
      <c r="E80" t="inlineStr">
        <is>
          <t>Port Harcourt</t>
        </is>
      </c>
      <c r="F80" t="inlineStr">
        <is>
          <t>Corporate</t>
        </is>
      </c>
      <c r="G80" t="inlineStr">
        <is>
          <t>Bola</t>
        </is>
      </c>
      <c r="H80" t="n">
        <v>1</v>
      </c>
      <c r="I80" s="12" t="n">
        <v>135000</v>
      </c>
      <c r="J80" s="12" t="n">
        <v>95000</v>
      </c>
      <c r="K80" s="12">
        <f>H80*I80</f>
        <v/>
      </c>
      <c r="L80" s="12">
        <f>H80*J80</f>
        <v/>
      </c>
      <c r="M80" s="12">
        <f>K80-L80</f>
        <v/>
      </c>
      <c r="N80">
        <f>IFERROR(M80/K80,0)</f>
        <v/>
      </c>
    </row>
    <row r="81">
      <c r="A81" t="inlineStr">
        <is>
          <t>SEP-080</t>
        </is>
      </c>
      <c r="B81" s="1" t="n">
        <v>46289</v>
      </c>
      <c r="C81" t="inlineStr">
        <is>
          <t>Router</t>
        </is>
      </c>
      <c r="D81" t="inlineStr">
        <is>
          <t>Networking</t>
        </is>
      </c>
      <c r="E81" t="inlineStr">
        <is>
          <t>Abuja</t>
        </is>
      </c>
      <c r="F81" t="inlineStr">
        <is>
          <t>In-store</t>
        </is>
      </c>
      <c r="G81" t="inlineStr">
        <is>
          <t>Chika</t>
        </is>
      </c>
      <c r="H81" t="n">
        <v>2</v>
      </c>
      <c r="I81" s="12" t="n">
        <v>65000</v>
      </c>
      <c r="J81" s="12" t="n">
        <v>42000</v>
      </c>
      <c r="K81" s="12">
        <f>H81*I81</f>
        <v/>
      </c>
      <c r="L81" s="12">
        <f>H81*J81</f>
        <v/>
      </c>
      <c r="M81" s="12">
        <f>K81-L81</f>
        <v/>
      </c>
      <c r="N81">
        <f>IFERROR(M81/K81,0)</f>
        <v/>
      </c>
    </row>
    <row r="82">
      <c r="A82" t="inlineStr">
        <is>
          <t>SEP-081</t>
        </is>
      </c>
      <c r="B82" s="1" t="n">
        <v>46290</v>
      </c>
      <c r="C82" t="inlineStr">
        <is>
          <t>Tablet</t>
        </is>
      </c>
      <c r="D82" t="inlineStr">
        <is>
          <t>Computers</t>
        </is>
      </c>
      <c r="E82" t="inlineStr">
        <is>
          <t>Kano</t>
        </is>
      </c>
      <c r="F82" t="inlineStr">
        <is>
          <t>Online</t>
        </is>
      </c>
      <c r="G82" t="inlineStr">
        <is>
          <t>Emeka</t>
        </is>
      </c>
      <c r="H82" t="n">
        <v>2</v>
      </c>
      <c r="I82" s="12" t="n">
        <v>180000</v>
      </c>
      <c r="J82" s="12" t="n">
        <v>125000</v>
      </c>
      <c r="K82" s="12">
        <f>H82*I82</f>
        <v/>
      </c>
      <c r="L82" s="12">
        <f>H82*J82</f>
        <v/>
      </c>
      <c r="M82" s="12">
        <f>K82-L82</f>
        <v/>
      </c>
      <c r="N82">
        <f>IFERROR(M82/K82,0)</f>
        <v/>
      </c>
    </row>
    <row r="83">
      <c r="A83" t="inlineStr">
        <is>
          <t>SEP-082</t>
        </is>
      </c>
      <c r="B83" s="1" t="n">
        <v>46290</v>
      </c>
      <c r="C83" t="inlineStr">
        <is>
          <t>Mouse</t>
        </is>
      </c>
      <c r="D83" t="inlineStr">
        <is>
          <t>Accessories</t>
        </is>
      </c>
      <c r="E83" t="inlineStr">
        <is>
          <t>Lagos</t>
        </is>
      </c>
      <c r="F83" t="inlineStr">
        <is>
          <t>In-store</t>
        </is>
      </c>
      <c r="G83" t="inlineStr">
        <is>
          <t>Fatima</t>
        </is>
      </c>
      <c r="H83" t="n">
        <v>7</v>
      </c>
      <c r="I83" s="12" t="n">
        <v>12000</v>
      </c>
      <c r="J83" s="12" t="n">
        <v>6500</v>
      </c>
      <c r="K83" s="12">
        <f>H83*I83</f>
        <v/>
      </c>
      <c r="L83" s="12">
        <f>H83*J83</f>
        <v/>
      </c>
      <c r="M83" s="12">
        <f>K83-L83</f>
        <v/>
      </c>
      <c r="N83">
        <f>IFERROR(M83/K83,0)</f>
        <v/>
      </c>
    </row>
    <row r="84">
      <c r="A84" t="inlineStr">
        <is>
          <t>SEP-083</t>
        </is>
      </c>
      <c r="B84" s="1" t="n">
        <v>46290</v>
      </c>
      <c r="C84" t="inlineStr">
        <is>
          <t>Headphones</t>
        </is>
      </c>
      <c r="D84" t="inlineStr">
        <is>
          <t>Accessories</t>
        </is>
      </c>
      <c r="E84" t="inlineStr">
        <is>
          <t>Abuja</t>
        </is>
      </c>
      <c r="F84" t="inlineStr">
        <is>
          <t>Online</t>
        </is>
      </c>
      <c r="G84" t="inlineStr">
        <is>
          <t>Ibrahim</t>
        </is>
      </c>
      <c r="H84" t="n">
        <v>4</v>
      </c>
      <c r="I84" s="12" t="n">
        <v>38000</v>
      </c>
      <c r="J84" s="12" t="n">
        <v>22000</v>
      </c>
      <c r="K84" s="12">
        <f>H84*I84</f>
        <v/>
      </c>
      <c r="L84" s="12">
        <f>H84*J84</f>
        <v/>
      </c>
      <c r="M84" s="12">
        <f>K84-L84</f>
        <v/>
      </c>
      <c r="N84">
        <f>IFERROR(M84/K84,0)</f>
        <v/>
      </c>
    </row>
    <row r="85">
      <c r="A85" t="inlineStr">
        <is>
          <t>SEP-084</t>
        </is>
      </c>
      <c r="B85" s="1" t="n">
        <v>46290</v>
      </c>
      <c r="C85" t="inlineStr">
        <is>
          <t>External SSD</t>
        </is>
      </c>
      <c r="D85" t="inlineStr">
        <is>
          <t>Storage</t>
        </is>
      </c>
      <c r="E85" t="inlineStr">
        <is>
          <t>Ibadan</t>
        </is>
      </c>
      <c r="F85" t="inlineStr">
        <is>
          <t>Corporate</t>
        </is>
      </c>
      <c r="G85" t="inlineStr">
        <is>
          <t>Tunde</t>
        </is>
      </c>
      <c r="H85" t="n">
        <v>2</v>
      </c>
      <c r="I85" s="12" t="n">
        <v>85000</v>
      </c>
      <c r="J85" s="12" t="n">
        <v>57000</v>
      </c>
      <c r="K85" s="12">
        <f>H85*I85</f>
        <v/>
      </c>
      <c r="L85" s="12">
        <f>H85*J85</f>
        <v/>
      </c>
      <c r="M85" s="12">
        <f>K85-L85</f>
        <v/>
      </c>
      <c r="N85">
        <f>IFERROR(M85/K85,0)</f>
        <v/>
      </c>
    </row>
    <row r="86">
      <c r="A86" t="inlineStr">
        <is>
          <t>SEP-085</t>
        </is>
      </c>
      <c r="B86" s="1" t="n">
        <v>46291</v>
      </c>
      <c r="C86" t="inlineStr">
        <is>
          <t>Monitor</t>
        </is>
      </c>
      <c r="D86" t="inlineStr">
        <is>
          <t>Accessories</t>
        </is>
      </c>
      <c r="E86" t="inlineStr">
        <is>
          <t>Lagos</t>
        </is>
      </c>
      <c r="F86" t="inlineStr">
        <is>
          <t>Online</t>
        </is>
      </c>
      <c r="G86" t="inlineStr">
        <is>
          <t>Ada</t>
        </is>
      </c>
      <c r="H86" t="n">
        <v>3</v>
      </c>
      <c r="I86" s="12" t="n">
        <v>150000</v>
      </c>
      <c r="J86" s="12" t="n">
        <v>105000</v>
      </c>
      <c r="K86" s="12">
        <f>H86*I86</f>
        <v/>
      </c>
      <c r="L86" s="12">
        <f>H86*J86</f>
        <v/>
      </c>
      <c r="M86" s="12">
        <f>K86-L86</f>
        <v/>
      </c>
      <c r="N86">
        <f>IFERROR(M86/K86,0)</f>
        <v/>
      </c>
    </row>
    <row r="87">
      <c r="A87" t="inlineStr">
        <is>
          <t>SEP-086</t>
        </is>
      </c>
      <c r="B87" s="1" t="n">
        <v>46291</v>
      </c>
      <c r="C87" t="inlineStr">
        <is>
          <t>Keyboard</t>
        </is>
      </c>
      <c r="D87" t="inlineStr">
        <is>
          <t>Accessories</t>
        </is>
      </c>
      <c r="E87" t="inlineStr">
        <is>
          <t>Abuja</t>
        </is>
      </c>
      <c r="F87" t="inlineStr">
        <is>
          <t>In-store</t>
        </is>
      </c>
      <c r="G87" t="inlineStr">
        <is>
          <t>Bola</t>
        </is>
      </c>
      <c r="H87" t="n">
        <v>5</v>
      </c>
      <c r="I87" s="12" t="n">
        <v>25000</v>
      </c>
      <c r="J87" s="12" t="n">
        <v>14000</v>
      </c>
      <c r="K87" s="12">
        <f>H87*I87</f>
        <v/>
      </c>
      <c r="L87" s="12">
        <f>H87*J87</f>
        <v/>
      </c>
      <c r="M87" s="12">
        <f>K87-L87</f>
        <v/>
      </c>
      <c r="N87">
        <f>IFERROR(M87/K87,0)</f>
        <v/>
      </c>
    </row>
    <row r="88">
      <c r="A88" t="inlineStr">
        <is>
          <t>SEP-087</t>
        </is>
      </c>
      <c r="B88" s="1" t="n">
        <v>46291</v>
      </c>
      <c r="C88" t="inlineStr">
        <is>
          <t>Laptop</t>
        </is>
      </c>
      <c r="D88" t="inlineStr">
        <is>
          <t>Computers</t>
        </is>
      </c>
      <c r="E88" t="inlineStr">
        <is>
          <t>Kano</t>
        </is>
      </c>
      <c r="F88" t="inlineStr">
        <is>
          <t>Corporate</t>
        </is>
      </c>
      <c r="G88" t="inlineStr">
        <is>
          <t>Chika</t>
        </is>
      </c>
      <c r="H88" t="n">
        <v>1</v>
      </c>
      <c r="I88" s="12" t="n">
        <v>450000</v>
      </c>
      <c r="J88" s="12" t="n">
        <v>320000</v>
      </c>
      <c r="K88" s="12">
        <f>H88*I88</f>
        <v/>
      </c>
      <c r="L88" s="12">
        <f>H88*J88</f>
        <v/>
      </c>
      <c r="M88" s="12">
        <f>K88-L88</f>
        <v/>
      </c>
      <c r="N88">
        <f>IFERROR(M88/K88,0)</f>
        <v/>
      </c>
    </row>
    <row r="89">
      <c r="A89" t="inlineStr">
        <is>
          <t>SEP-088</t>
        </is>
      </c>
      <c r="B89" s="1" t="n">
        <v>46292</v>
      </c>
      <c r="C89" t="inlineStr">
        <is>
          <t>Smartphone</t>
        </is>
      </c>
      <c r="D89" t="inlineStr">
        <is>
          <t>Phones</t>
        </is>
      </c>
      <c r="E89" t="inlineStr">
        <is>
          <t>Abuja</t>
        </is>
      </c>
      <c r="F89" t="inlineStr">
        <is>
          <t>Online</t>
        </is>
      </c>
      <c r="G89" t="inlineStr">
        <is>
          <t>Emeka</t>
        </is>
      </c>
      <c r="H89" t="n">
        <v>2</v>
      </c>
      <c r="I89" s="12" t="n">
        <v>280000</v>
      </c>
      <c r="J89" s="12" t="n">
        <v>205000</v>
      </c>
      <c r="K89" s="12">
        <f>H89*I89</f>
        <v/>
      </c>
      <c r="L89" s="12">
        <f>H89*J89</f>
        <v/>
      </c>
      <c r="M89" s="12">
        <f>K89-L89</f>
        <v/>
      </c>
      <c r="N89">
        <f>IFERROR(M89/K89,0)</f>
        <v/>
      </c>
    </row>
    <row r="90">
      <c r="A90" t="inlineStr">
        <is>
          <t>SEP-089</t>
        </is>
      </c>
      <c r="B90" s="1" t="n">
        <v>46292</v>
      </c>
      <c r="C90" t="inlineStr">
        <is>
          <t>Printer</t>
        </is>
      </c>
      <c r="D90" t="inlineStr">
        <is>
          <t>Office Equipment</t>
        </is>
      </c>
      <c r="E90" t="inlineStr">
        <is>
          <t>Ibadan</t>
        </is>
      </c>
      <c r="F90" t="inlineStr">
        <is>
          <t>Corporate</t>
        </is>
      </c>
      <c r="G90" t="inlineStr">
        <is>
          <t>Fatima</t>
        </is>
      </c>
      <c r="H90" t="n">
        <v>2</v>
      </c>
      <c r="I90" s="12" t="n">
        <v>135000</v>
      </c>
      <c r="J90" s="12" t="n">
        <v>95000</v>
      </c>
      <c r="K90" s="12">
        <f>H90*I90</f>
        <v/>
      </c>
      <c r="L90" s="12">
        <f>H90*J90</f>
        <v/>
      </c>
      <c r="M90" s="12">
        <f>K90-L90</f>
        <v/>
      </c>
      <c r="N90">
        <f>IFERROR(M90/K90,0)</f>
        <v/>
      </c>
    </row>
    <row r="91">
      <c r="A91" t="inlineStr">
        <is>
          <t>SEP-090</t>
        </is>
      </c>
      <c r="B91" s="1" t="n">
        <v>46292</v>
      </c>
      <c r="C91" t="inlineStr">
        <is>
          <t>Router</t>
        </is>
      </c>
      <c r="D91" t="inlineStr">
        <is>
          <t>Networking</t>
        </is>
      </c>
      <c r="E91" t="inlineStr">
        <is>
          <t>Port Harcourt</t>
        </is>
      </c>
      <c r="F91" t="inlineStr">
        <is>
          <t>In-store</t>
        </is>
      </c>
      <c r="G91" t="inlineStr">
        <is>
          <t>Ibrahim</t>
        </is>
      </c>
      <c r="H91" t="n">
        <v>3</v>
      </c>
      <c r="I91" s="12" t="n">
        <v>65000</v>
      </c>
      <c r="J91" s="12" t="n">
        <v>42000</v>
      </c>
      <c r="K91" s="12">
        <f>H91*I91</f>
        <v/>
      </c>
      <c r="L91" s="12">
        <f>H91*J91</f>
        <v/>
      </c>
      <c r="M91" s="12">
        <f>K91-L91</f>
        <v/>
      </c>
      <c r="N91">
        <f>IFERROR(M91/K91,0)</f>
        <v/>
      </c>
    </row>
    <row r="92">
      <c r="A92" t="inlineStr">
        <is>
          <t>SEP-091</t>
        </is>
      </c>
      <c r="B92" s="1" t="n">
        <v>46293</v>
      </c>
      <c r="C92" t="inlineStr">
        <is>
          <t>Tablet</t>
        </is>
      </c>
      <c r="D92" t="inlineStr">
        <is>
          <t>Computers</t>
        </is>
      </c>
      <c r="E92" t="inlineStr">
        <is>
          <t>Abuja</t>
        </is>
      </c>
      <c r="F92" t="inlineStr">
        <is>
          <t>Corporate</t>
        </is>
      </c>
      <c r="G92" t="inlineStr">
        <is>
          <t>Tunde</t>
        </is>
      </c>
      <c r="H92" t="n">
        <v>1</v>
      </c>
      <c r="I92" s="12" t="n">
        <v>180000</v>
      </c>
      <c r="J92" s="12" t="n">
        <v>125000</v>
      </c>
      <c r="K92" s="12">
        <f>H92*I92</f>
        <v/>
      </c>
      <c r="L92" s="12">
        <f>H92*J92</f>
        <v/>
      </c>
      <c r="M92" s="12">
        <f>K92-L92</f>
        <v/>
      </c>
      <c r="N92">
        <f>IFERROR(M92/K92,0)</f>
        <v/>
      </c>
    </row>
    <row r="93">
      <c r="A93" t="inlineStr">
        <is>
          <t>SEP-092</t>
        </is>
      </c>
      <c r="B93" s="1" t="n">
        <v>46293</v>
      </c>
      <c r="C93" t="inlineStr">
        <is>
          <t>Mouse</t>
        </is>
      </c>
      <c r="D93" t="inlineStr">
        <is>
          <t>Accessories</t>
        </is>
      </c>
      <c r="E93" t="inlineStr">
        <is>
          <t>Kano</t>
        </is>
      </c>
      <c r="F93" t="inlineStr">
        <is>
          <t>Online</t>
        </is>
      </c>
      <c r="G93" t="inlineStr">
        <is>
          <t>Ada</t>
        </is>
      </c>
      <c r="H93" t="n">
        <v>8</v>
      </c>
      <c r="I93" s="12" t="n">
        <v>12000</v>
      </c>
      <c r="J93" s="12" t="n">
        <v>6500</v>
      </c>
      <c r="K93" s="12">
        <f>H93*I93</f>
        <v/>
      </c>
      <c r="L93" s="12">
        <f>H93*J93</f>
        <v/>
      </c>
      <c r="M93" s="12">
        <f>K93-L93</f>
        <v/>
      </c>
      <c r="N93">
        <f>IFERROR(M93/K93,0)</f>
        <v/>
      </c>
    </row>
    <row r="94">
      <c r="A94" t="inlineStr">
        <is>
          <t>SEP-093</t>
        </is>
      </c>
      <c r="B94" s="1" t="n">
        <v>46293</v>
      </c>
      <c r="C94" t="inlineStr">
        <is>
          <t>Headphones</t>
        </is>
      </c>
      <c r="D94" t="inlineStr">
        <is>
          <t>Accessories</t>
        </is>
      </c>
      <c r="E94" t="inlineStr">
        <is>
          <t>Lagos</t>
        </is>
      </c>
      <c r="F94" t="inlineStr">
        <is>
          <t>In-store</t>
        </is>
      </c>
      <c r="G94" t="inlineStr">
        <is>
          <t>Bola</t>
        </is>
      </c>
      <c r="H94" t="n">
        <v>3</v>
      </c>
      <c r="I94" s="12" t="n">
        <v>38000</v>
      </c>
      <c r="J94" s="12" t="n">
        <v>22000</v>
      </c>
      <c r="K94" s="12">
        <f>H94*I94</f>
        <v/>
      </c>
      <c r="L94" s="12">
        <f>H94*J94</f>
        <v/>
      </c>
      <c r="M94" s="12">
        <f>K94-L94</f>
        <v/>
      </c>
      <c r="N94">
        <f>IFERROR(M94/K94,0)</f>
        <v/>
      </c>
    </row>
    <row r="95">
      <c r="A95" t="inlineStr">
        <is>
          <t>SEP-094</t>
        </is>
      </c>
      <c r="B95" s="1" t="n">
        <v>46294</v>
      </c>
      <c r="C95" t="inlineStr">
        <is>
          <t>External SSD</t>
        </is>
      </c>
      <c r="D95" t="inlineStr">
        <is>
          <t>Storage</t>
        </is>
      </c>
      <c r="E95" t="inlineStr">
        <is>
          <t>Abuja</t>
        </is>
      </c>
      <c r="F95" t="inlineStr">
        <is>
          <t>Corporate</t>
        </is>
      </c>
      <c r="G95" t="inlineStr">
        <is>
          <t>Chika</t>
        </is>
      </c>
      <c r="H95" t="n">
        <v>2</v>
      </c>
      <c r="I95" s="12" t="n">
        <v>85000</v>
      </c>
      <c r="J95" s="12" t="n">
        <v>57000</v>
      </c>
      <c r="K95" s="12">
        <f>H95*I95</f>
        <v/>
      </c>
      <c r="L95" s="12">
        <f>H95*J95</f>
        <v/>
      </c>
      <c r="M95" s="12">
        <f>K95-L95</f>
        <v/>
      </c>
      <c r="N95">
        <f>IFERROR(M95/K95,0)</f>
        <v/>
      </c>
    </row>
    <row r="96">
      <c r="A96" t="inlineStr">
        <is>
          <t>SEP-095</t>
        </is>
      </c>
      <c r="B96" s="1" t="n">
        <v>46294</v>
      </c>
      <c r="C96" t="inlineStr">
        <is>
          <t>Monitor</t>
        </is>
      </c>
      <c r="D96" t="inlineStr">
        <is>
          <t>Accessories</t>
        </is>
      </c>
      <c r="E96" t="inlineStr">
        <is>
          <t>Port Harcourt</t>
        </is>
      </c>
      <c r="F96" t="inlineStr">
        <is>
          <t>Online</t>
        </is>
      </c>
      <c r="G96" t="inlineStr">
        <is>
          <t>Emeka</t>
        </is>
      </c>
      <c r="H96" t="n">
        <v>2</v>
      </c>
      <c r="I96" s="12" t="n">
        <v>150000</v>
      </c>
      <c r="J96" s="12" t="n">
        <v>105000</v>
      </c>
      <c r="K96" s="12">
        <f>H96*I96</f>
        <v/>
      </c>
      <c r="L96" s="12">
        <f>H96*J96</f>
        <v/>
      </c>
      <c r="M96" s="12">
        <f>K96-L96</f>
        <v/>
      </c>
      <c r="N96">
        <f>IFERROR(M96/K96,0)</f>
        <v/>
      </c>
    </row>
    <row r="97">
      <c r="A97" t="inlineStr">
        <is>
          <t>SEP-096</t>
        </is>
      </c>
      <c r="B97" s="1" t="n">
        <v>46294</v>
      </c>
      <c r="C97" t="inlineStr">
        <is>
          <t>Keyboard</t>
        </is>
      </c>
      <c r="D97" t="inlineStr">
        <is>
          <t>Accessories</t>
        </is>
      </c>
      <c r="E97" t="inlineStr">
        <is>
          <t>Lagos</t>
        </is>
      </c>
      <c r="F97" t="inlineStr">
        <is>
          <t>In-store</t>
        </is>
      </c>
      <c r="G97" t="inlineStr">
        <is>
          <t>Fatima</t>
        </is>
      </c>
      <c r="H97" t="n">
        <v>4</v>
      </c>
      <c r="I97" s="12" t="n">
        <v>25000</v>
      </c>
      <c r="J97" s="12" t="n">
        <v>14000</v>
      </c>
      <c r="K97" s="12">
        <f>H97*I97</f>
        <v/>
      </c>
      <c r="L97" s="12">
        <f>H97*J97</f>
        <v/>
      </c>
      <c r="M97" s="12">
        <f>K97-L97</f>
        <v/>
      </c>
      <c r="N97">
        <f>IFERROR(M97/K97,0)</f>
        <v/>
      </c>
    </row>
    <row r="98">
      <c r="A98" t="inlineStr">
        <is>
          <t>SEP-097</t>
        </is>
      </c>
      <c r="B98" s="1" t="n">
        <v>46295</v>
      </c>
      <c r="C98" t="inlineStr">
        <is>
          <t>Laptop</t>
        </is>
      </c>
      <c r="D98" t="inlineStr">
        <is>
          <t>Computers</t>
        </is>
      </c>
      <c r="E98" t="inlineStr">
        <is>
          <t>Abuja</t>
        </is>
      </c>
      <c r="F98" t="inlineStr">
        <is>
          <t>Corporate</t>
        </is>
      </c>
      <c r="G98" t="inlineStr">
        <is>
          <t>Ibrahim</t>
        </is>
      </c>
      <c r="H98" t="n">
        <v>1</v>
      </c>
      <c r="I98" s="12" t="n">
        <v>450000</v>
      </c>
      <c r="J98" s="12" t="n">
        <v>320000</v>
      </c>
      <c r="K98" s="12">
        <f>H98*I98</f>
        <v/>
      </c>
      <c r="L98" s="12">
        <f>H98*J98</f>
        <v/>
      </c>
      <c r="M98" s="12">
        <f>K98-L98</f>
        <v/>
      </c>
      <c r="N98">
        <f>IFERROR(M98/K98,0)</f>
        <v/>
      </c>
    </row>
    <row r="99">
      <c r="A99" t="inlineStr">
        <is>
          <t>SEP-098</t>
        </is>
      </c>
      <c r="B99" s="1" t="n">
        <v>46295</v>
      </c>
      <c r="C99" t="inlineStr">
        <is>
          <t>Smartphone</t>
        </is>
      </c>
      <c r="D99" t="inlineStr">
        <is>
          <t>Phones</t>
        </is>
      </c>
      <c r="E99" t="inlineStr">
        <is>
          <t>Ibadan</t>
        </is>
      </c>
      <c r="F99" t="inlineStr">
        <is>
          <t>Online</t>
        </is>
      </c>
      <c r="G99" t="inlineStr">
        <is>
          <t>Tunde</t>
        </is>
      </c>
      <c r="H99" t="n">
        <v>2</v>
      </c>
      <c r="I99" s="12" t="n">
        <v>280000</v>
      </c>
      <c r="J99" s="12" t="n">
        <v>205000</v>
      </c>
      <c r="K99" s="12">
        <f>H99*I99</f>
        <v/>
      </c>
      <c r="L99" s="12">
        <f>H99*J99</f>
        <v/>
      </c>
      <c r="M99" s="12">
        <f>K99-L99</f>
        <v/>
      </c>
      <c r="N99">
        <f>IFERROR(M99/K99,0)</f>
        <v/>
      </c>
    </row>
    <row r="100">
      <c r="A100" t="inlineStr">
        <is>
          <t>SEP-099</t>
        </is>
      </c>
      <c r="B100" s="1" t="n">
        <v>46295</v>
      </c>
      <c r="C100" t="inlineStr">
        <is>
          <t>Printer</t>
        </is>
      </c>
      <c r="D100" t="inlineStr">
        <is>
          <t>Office Equipment</t>
        </is>
      </c>
      <c r="E100" t="inlineStr">
        <is>
          <t>Lagos</t>
        </is>
      </c>
      <c r="F100" t="inlineStr">
        <is>
          <t>Corporate</t>
        </is>
      </c>
      <c r="G100" t="inlineStr">
        <is>
          <t>Ada</t>
        </is>
      </c>
      <c r="H100" t="n">
        <v>1</v>
      </c>
      <c r="I100" s="12" t="n">
        <v>135000</v>
      </c>
      <c r="J100" s="12" t="n">
        <v>95000</v>
      </c>
      <c r="K100" s="12">
        <f>H100*I100</f>
        <v/>
      </c>
      <c r="L100" s="12">
        <f>H100*J100</f>
        <v/>
      </c>
      <c r="M100" s="12">
        <f>K100-L100</f>
        <v/>
      </c>
      <c r="N100">
        <f>IFERROR(M100/K100,0)</f>
        <v/>
      </c>
    </row>
    <row r="101">
      <c r="A101" t="inlineStr">
        <is>
          <t>SEP-100</t>
        </is>
      </c>
      <c r="B101" s="1" t="n">
        <v>46295</v>
      </c>
      <c r="C101" t="inlineStr">
        <is>
          <t>Router</t>
        </is>
      </c>
      <c r="D101" t="inlineStr">
        <is>
          <t>Networking</t>
        </is>
      </c>
      <c r="E101" t="inlineStr">
        <is>
          <t>Abuja</t>
        </is>
      </c>
      <c r="F101" t="inlineStr">
        <is>
          <t>Online</t>
        </is>
      </c>
      <c r="G101" t="inlineStr">
        <is>
          <t>Bola</t>
        </is>
      </c>
      <c r="H101" t="n">
        <v>3</v>
      </c>
      <c r="I101" s="12" t="n">
        <v>65000</v>
      </c>
      <c r="J101" s="12" t="n">
        <v>42000</v>
      </c>
      <c r="K101" s="12">
        <f>H101*I101</f>
        <v/>
      </c>
      <c r="L101" s="12">
        <f>H101*J101</f>
        <v/>
      </c>
      <c r="M101" s="12">
        <f>K101-L101</f>
        <v/>
      </c>
      <c r="N101">
        <f>IFERROR(M101/K101,0)</f>
        <v/>
      </c>
    </row>
    <row r="102">
      <c r="B102" s="1" t="n"/>
      <c r="K102" s="12">
        <f>SUM(K2:K101)</f>
        <v/>
      </c>
      <c r="L102" s="12" t="n"/>
      <c r="M102" s="12">
        <f>SUM(M2:M101)</f>
        <v/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style="5" min="1" max="1"/>
    <col width="28" customWidth="1" style="5" min="2" max="2"/>
    <col width="68" customWidth="1" style="5" min="3" max="3"/>
    <col width="16" customWidth="1" style="5" min="4" max="4"/>
  </cols>
  <sheetData>
    <row r="1">
      <c r="A1" s="31" t="inlineStr">
        <is>
          <t>PROJECT FINDINGS | SEPTEMBER 2026 SALES ANALYSIS</t>
        </is>
      </c>
    </row>
    <row r="3">
      <c r="A3" s="21" t="inlineStr">
        <is>
          <t>Metric</t>
        </is>
      </c>
      <c r="B3" s="21" t="inlineStr">
        <is>
          <t>Result</t>
        </is>
      </c>
      <c r="C3" s="21" t="inlineStr">
        <is>
          <t>Interpretation</t>
        </is>
      </c>
    </row>
    <row r="4" ht="30" customHeight="1" s="5">
      <c r="A4" t="inlineStr">
        <is>
          <t>Transactions</t>
        </is>
      </c>
      <c r="B4" s="32" t="n">
        <v>100</v>
      </c>
      <c r="C4" s="33" t="inlineStr">
        <is>
          <t>100 recorded sales orders in the supplied dataset.</t>
        </is>
      </c>
    </row>
    <row r="5" ht="30" customHeight="1" s="5">
      <c r="A5" t="inlineStr">
        <is>
          <t>Total revenue</t>
        </is>
      </c>
      <c r="B5" s="34" t="n">
        <v>33126000</v>
      </c>
      <c r="C5" s="33" t="inlineStr">
        <is>
          <t>Sum of quantity multiplied by unit price across the orders.</t>
        </is>
      </c>
    </row>
    <row r="6" ht="30" customHeight="1" s="5">
      <c r="A6" t="inlineStr">
        <is>
          <t>Total cost</t>
        </is>
      </c>
      <c r="B6" s="34" t="n">
        <v>22894000</v>
      </c>
      <c r="C6" s="33" t="inlineStr">
        <is>
          <t>Sum of quantity multiplied by unit cost across the orders.</t>
        </is>
      </c>
    </row>
    <row r="7" ht="30" customHeight="1" s="5">
      <c r="A7" t="inlineStr">
        <is>
          <t>Total profit</t>
        </is>
      </c>
      <c r="B7" s="34" t="n">
        <v>10232000</v>
      </c>
      <c r="C7" s="33" t="inlineStr">
        <is>
          <t>Revenue minus total cost; this is not net profit after overheads or taxes.</t>
        </is>
      </c>
    </row>
    <row r="8" ht="30" customHeight="1" s="5">
      <c r="A8" t="inlineStr">
        <is>
          <t>Profit margin</t>
        </is>
      </c>
      <c r="B8" s="35" t="n">
        <v>0.3088812413210167</v>
      </c>
      <c r="C8" s="33" t="inlineStr">
        <is>
          <t>Total profit divided by total revenue.</t>
        </is>
      </c>
    </row>
    <row r="9" ht="30" customHeight="1" s="5">
      <c r="A9" t="inlineStr">
        <is>
          <t>Top product by revenue</t>
        </is>
      </c>
      <c r="B9" s="32" t="inlineStr">
        <is>
          <t>Laptop</t>
        </is>
      </c>
      <c r="C9" s="33" t="inlineStr">
        <is>
          <t>Revenue of ₦8,100,000.</t>
        </is>
      </c>
    </row>
    <row r="10" ht="30" customHeight="1" s="5">
      <c r="A10" t="inlineStr">
        <is>
          <t>Top sales representative by revenue</t>
        </is>
      </c>
      <c r="B10" s="32" t="inlineStr">
        <is>
          <t>Ada</t>
        </is>
      </c>
      <c r="C10" s="33" t="inlineStr">
        <is>
          <t>Revenue of ₦6,493,000.</t>
        </is>
      </c>
    </row>
    <row r="11" ht="30" customHeight="1" s="5">
      <c r="A11" t="inlineStr">
        <is>
          <t>Largest sales channel</t>
        </is>
      </c>
      <c r="B11" s="32" t="inlineStr">
        <is>
          <t>Corporate</t>
        </is>
      </c>
      <c r="C11" s="33" t="inlineStr">
        <is>
          <t>Revenue of ₦14,596,000, about 44.1% of all revenue.</t>
        </is>
      </c>
    </row>
    <row r="12" ht="30" customHeight="1" s="5">
      <c r="A12" t="inlineStr">
        <is>
          <t>Highest-revenue region</t>
        </is>
      </c>
      <c r="B12" s="32" t="inlineStr">
        <is>
          <t>Abuja</t>
        </is>
      </c>
      <c r="C12" s="33" t="inlineStr">
        <is>
          <t>Revenue of ₦12,045,000.</t>
        </is>
      </c>
    </row>
    <row r="13" ht="30" customHeight="1" s="5">
      <c r="A13" t="inlineStr">
        <is>
          <t>Highest-profit region</t>
        </is>
      </c>
      <c r="B13" s="32" t="inlineStr">
        <is>
          <t>Abuja</t>
        </is>
      </c>
      <c r="C13" s="33" t="inlineStr">
        <is>
          <t>Profit of ₦3,694,500.</t>
        </is>
      </c>
    </row>
    <row r="16">
      <c r="A16" s="36" t="inlineStr">
        <is>
          <t>Data checks</t>
        </is>
      </c>
    </row>
    <row r="17">
      <c r="A17" t="inlineStr">
        <is>
          <t>Revenue calculation</t>
        </is>
      </c>
      <c r="B17" s="33" t="inlineStr">
        <is>
          <t>All 100 rows match Quantity × Unit Price.</t>
        </is>
      </c>
    </row>
    <row r="18">
      <c r="A18" t="inlineStr">
        <is>
          <t>Cost calculation</t>
        </is>
      </c>
      <c r="B18" s="33" t="inlineStr">
        <is>
          <t>All 100 rows match Quantity × Unit Cost.</t>
        </is>
      </c>
    </row>
    <row r="19">
      <c r="A19" t="inlineStr">
        <is>
          <t>Profit calculation</t>
        </is>
      </c>
      <c r="B19" s="33" t="inlineStr">
        <is>
          <t>All 100 rows match Revenue − Total Cost.</t>
        </is>
      </c>
    </row>
    <row r="20">
      <c r="A20" t="inlineStr">
        <is>
          <t>Margin calculation</t>
        </is>
      </c>
      <c r="B20" s="33" t="inlineStr">
        <is>
          <t>All 100 rows match Profit ÷ Revenue.</t>
        </is>
      </c>
    </row>
    <row r="21">
      <c r="A21" t="inlineStr">
        <is>
          <t>Missing values</t>
        </is>
      </c>
      <c r="B21" s="33" t="inlineStr">
        <is>
          <t>No missing values found in the 14 populated data columns for the 100 transactions.</t>
        </is>
      </c>
    </row>
    <row r="24"/>
    <row r="25" ht="42" customHeight="1" s="5"/>
  </sheetData>
  <mergeCells count="8">
    <mergeCell ref="A1:D1"/>
    <mergeCell ref="B19:D19"/>
    <mergeCell ref="A25:D26"/>
    <mergeCell ref="B17:D17"/>
    <mergeCell ref="B18:D18"/>
    <mergeCell ref="B21:D21"/>
    <mergeCell ref="A24:D24"/>
    <mergeCell ref="B20:D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HP</dc:creator>
  <dcterms:created xmlns:dcterms="http://purl.org/dc/terms/" xmlns:xsi="http://www.w3.org/2001/XMLSchema-instance" xsi:type="dcterms:W3CDTF">2026-10-15T10:45:27Z</dcterms:created>
  <dcterms:modified xmlns:dcterms="http://purl.org/dc/terms/" xmlns:xsi="http://www.w3.org/2001/XMLSchema-instance" xsi:type="dcterms:W3CDTF">2026-10-26T21:56:26Z</dcterms:modified>
  <cp:lastModifiedBy>Peters Oladosu</cp:lastModifiedBy>
</cp:coreProperties>
</file>